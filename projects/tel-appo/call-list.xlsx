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架電リスト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C4A63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pivotButton="0" quotePrefix="0" xfId="0"/>
    <xf numFmtId="164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架電管理シート（MAKRH / 栃木県内）</t>
        </is>
      </c>
    </row>
    <row r="4">
      <c r="B4" s="2" t="inlineStr">
        <is>
          <t>このシートについて</t>
        </is>
      </c>
    </row>
    <row r="5">
      <c r="B5" s="3" t="inlineStr">
        <is>
          <t>「架電リスト」タブに候補店を入力し、電話をかけた結果を記録していきます。</t>
        </is>
      </c>
    </row>
    <row r="6">
      <c r="B6" s="3" t="inlineStr">
        <is>
          <t>対象: 栃木県内の観光関連個人店（カフェ・飲食店・和菓子/雑貨店・陶器店/ギャラリー・土産店）＋ 美容室・理容室。</t>
        </is>
      </c>
    </row>
    <row r="7">
      <c r="B7" s="3" t="inlineStr">
        <is>
          <t>現在20市町にまたがる候補を掲載（栃木市・益子町・那須町・日光市を中心に、宇都宮市など主要都市にも拡大）。</t>
        </is>
      </c>
    </row>
    <row r="9">
      <c r="B9" s="2" t="inlineStr">
        <is>
          <t>500件を目指す上での注意</t>
        </is>
      </c>
    </row>
    <row r="10">
      <c r="B10" s="3" t="inlineStr">
        <is>
          <t>このシートはWeb検索で見つけた実在店舗の下調べリストです。件数を大きく伸ばすには限界があり、</t>
        </is>
      </c>
    </row>
    <row r="11">
      <c r="B11" s="3" t="inlineStr">
        <is>
          <t>特に美容室・理容室は店舗数が非常に多い一方、Web検索の要約からは個別店名が拾いにくい業態です。</t>
        </is>
      </c>
    </row>
    <row r="12">
      <c r="B12" s="3" t="inlineStr">
        <is>
          <t>母数を一気に増やすには「iタウンページ」（https://itp.ne.jp/）で業種×市区町村を指定して検索・</t>
        </is>
      </c>
    </row>
    <row r="13">
      <c r="B13" s="3" t="inlineStr">
        <is>
          <t>コピペする方法がもっとも効率的です（店名・電話番号・住所が一覧で出ます）。詳細は knowledge フォルダのメモ参照。</t>
        </is>
      </c>
    </row>
    <row r="15">
      <c r="B15" s="2" t="inlineStr">
        <is>
          <t>入力のしかた</t>
        </is>
      </c>
    </row>
    <row r="16">
      <c r="B16" s="3" t="inlineStr">
        <is>
          <t>黄色のセルは要確認・要入力です（電話番号・定休日など、Web検索だけでは確認できなかった項目）。</t>
        </is>
      </c>
    </row>
    <row r="17">
      <c r="B17" s="3" t="inlineStr">
        <is>
          <t>「業種」「市町」「結果」列はプルダウンから選択できます。</t>
        </is>
      </c>
    </row>
    <row r="18">
      <c r="B18" s="3" t="inlineStr">
        <is>
          <t>架電したら「架電日」「結果」「次回アクション予定日」を都度更新してください。</t>
        </is>
      </c>
    </row>
    <row r="20">
      <c r="B20" s="2" t="inlineStr">
        <is>
          <t>結果の記録ルール</t>
        </is>
      </c>
    </row>
    <row r="21">
      <c r="B21" s="3" t="inlineStr">
        <is>
          <t>未架電 / 不在 / 拒否 / 資料送付OK / アポ確定 / 見送り の6区分で統一します。</t>
        </is>
      </c>
    </row>
    <row r="23">
      <c r="B23" s="2" t="inlineStr">
        <is>
          <t>集計</t>
        </is>
      </c>
    </row>
    <row r="24">
      <c r="B24" s="3" t="inlineStr">
        <is>
          <t>「集計」タブに架電数・アポ率・市町別件数が自動計算されます（架電リストの入力に連動）。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0" customWidth="1" min="4" max="4"/>
    <col width="26" customWidth="1" min="5" max="5"/>
    <col width="15" customWidth="1" min="6" max="6"/>
    <col width="12" customWidth="1" min="7" max="7"/>
    <col width="14" customWidth="1" min="8" max="8"/>
    <col width="28" customWidth="1" min="9" max="9"/>
    <col width="12" customWidth="1" min="10" max="10"/>
    <col width="13" customWidth="1" min="11" max="11"/>
    <col width="16" customWidth="1" min="12" max="12"/>
    <col width="28" customWidth="1" min="13" max="13"/>
  </cols>
  <sheetData>
    <row r="1">
      <c r="A1" s="4" t="inlineStr">
        <is>
          <t>No.</t>
        </is>
      </c>
      <c r="B1" s="4" t="inlineStr">
        <is>
          <t>店名</t>
        </is>
      </c>
      <c r="C1" s="4" t="inlineStr">
        <is>
          <t>業種</t>
        </is>
      </c>
      <c r="D1" s="4" t="inlineStr">
        <is>
          <t>市町</t>
        </is>
      </c>
      <c r="E1" s="4" t="inlineStr">
        <is>
          <t>住所/場所</t>
        </is>
      </c>
      <c r="F1" s="4" t="inlineStr">
        <is>
          <t>電話番号</t>
        </is>
      </c>
      <c r="G1" s="4" t="inlineStr">
        <is>
          <t>定休日</t>
        </is>
      </c>
      <c r="H1" s="4" t="inlineStr">
        <is>
          <t>現状サイト有無</t>
        </is>
      </c>
      <c r="I1" s="4" t="inlineStr">
        <is>
          <t>情報源</t>
        </is>
      </c>
      <c r="J1" s="4" t="inlineStr">
        <is>
          <t>架電日</t>
        </is>
      </c>
      <c r="K1" s="4" t="inlineStr">
        <is>
          <t>結果</t>
        </is>
      </c>
      <c r="L1" s="4" t="inlineStr">
        <is>
          <t>次回アクション予定日</t>
        </is>
      </c>
      <c r="M1" s="4" t="inlineStr">
        <is>
          <t>メモ</t>
        </is>
      </c>
    </row>
    <row r="2">
      <c r="A2" s="5" t="n">
        <v>1</v>
      </c>
      <c r="B2" s="6" t="inlineStr">
        <is>
          <t>舟見茶家 憩いどころ齋</t>
        </is>
      </c>
      <c r="C2" s="6" t="inlineStr">
        <is>
          <t>カフェ</t>
        </is>
      </c>
      <c r="D2" s="6" t="inlineStr">
        <is>
          <t>栃木市</t>
        </is>
      </c>
      <c r="E2" s="6" t="inlineStr">
        <is>
          <t>蔵の街エリア（巴波川沿い・古民家）</t>
        </is>
      </c>
      <c r="F2" s="7" t="inlineStr"/>
      <c r="G2" s="7" t="inlineStr">
        <is>
          <t>不明</t>
        </is>
      </c>
      <c r="H2" s="6" t="inlineStr">
        <is>
          <t>不明</t>
        </is>
      </c>
      <c r="I2" s="6" t="inlineStr">
        <is>
          <t>栃木市観光協会 掲載店</t>
        </is>
      </c>
      <c r="J2" s="6" t="inlineStr"/>
      <c r="K2" s="6" t="inlineStr">
        <is>
          <t>未架電</t>
        </is>
      </c>
      <c r="L2" s="6" t="inlineStr"/>
      <c r="M2" s="6" t="inlineStr">
        <is>
          <t>明治期の古民家を改装、蔵の街並みを一望できるカフェ</t>
        </is>
      </c>
    </row>
    <row r="3">
      <c r="A3" s="5" t="n">
        <v>2</v>
      </c>
      <c r="B3" s="6" t="inlineStr">
        <is>
          <t>ハウディーズカフェ</t>
        </is>
      </c>
      <c r="C3" s="6" t="inlineStr">
        <is>
          <t>カフェ</t>
        </is>
      </c>
      <c r="D3" s="6" t="inlineStr">
        <is>
          <t>栃木市</t>
        </is>
      </c>
      <c r="E3" s="6" t="inlineStr">
        <is>
          <t>小平町10-17</t>
        </is>
      </c>
      <c r="F3" s="7" t="inlineStr"/>
      <c r="G3" s="7" t="inlineStr">
        <is>
          <t>不明</t>
        </is>
      </c>
      <c r="H3" s="6" t="inlineStr">
        <is>
          <t>不明</t>
        </is>
      </c>
      <c r="I3" s="6" t="inlineStr">
        <is>
          <t>観光メディア掲載店</t>
        </is>
      </c>
      <c r="J3" s="6" t="inlineStr"/>
      <c r="K3" s="6" t="inlineStr">
        <is>
          <t>未架電</t>
        </is>
      </c>
      <c r="L3" s="6" t="inlineStr"/>
      <c r="M3" s="6" t="inlineStr">
        <is>
          <t>古民家を改装したカフェ</t>
        </is>
      </c>
    </row>
    <row r="4">
      <c r="A4" s="5" t="n">
        <v>3</v>
      </c>
      <c r="B4" s="6" t="inlineStr">
        <is>
          <t>光明寺山門カフェ</t>
        </is>
      </c>
      <c r="C4" s="6" t="inlineStr">
        <is>
          <t>カフェ</t>
        </is>
      </c>
      <c r="D4" s="6" t="inlineStr">
        <is>
          <t>栃木市</t>
        </is>
      </c>
      <c r="E4" s="6" t="inlineStr">
        <is>
          <t>蔵の街エリア（光明寺 山門付近）</t>
        </is>
      </c>
      <c r="F4" s="7" t="inlineStr"/>
      <c r="G4" s="7" t="inlineStr">
        <is>
          <t>不明</t>
        </is>
      </c>
      <c r="H4" s="6" t="inlineStr">
        <is>
          <t>不明</t>
        </is>
      </c>
      <c r="I4" s="6" t="inlineStr">
        <is>
          <t>観光メディア掲載店</t>
        </is>
      </c>
      <c r="J4" s="6" t="inlineStr"/>
      <c r="K4" s="6" t="inlineStr">
        <is>
          <t>未架電</t>
        </is>
      </c>
      <c r="L4" s="6" t="inlineStr"/>
      <c r="M4" s="6" t="inlineStr">
        <is>
          <t>蔵を使った小さなカフェ、ドリップコーヒー</t>
        </is>
      </c>
    </row>
    <row r="5">
      <c r="A5" s="5" t="n">
        <v>4</v>
      </c>
      <c r="B5" s="6" t="inlineStr">
        <is>
          <t>和菓子処 仁</t>
        </is>
      </c>
      <c r="C5" s="6" t="inlineStr">
        <is>
          <t>和菓子店</t>
        </is>
      </c>
      <c r="D5" s="6" t="inlineStr">
        <is>
          <t>栃木市</t>
        </is>
      </c>
      <c r="E5" s="6" t="inlineStr">
        <is>
          <t>蔵の街エリア</t>
        </is>
      </c>
      <c r="F5" s="7" t="inlineStr"/>
      <c r="G5" s="7" t="inlineStr">
        <is>
          <t>不明</t>
        </is>
      </c>
      <c r="H5" s="6" t="inlineStr">
        <is>
          <t>不明</t>
        </is>
      </c>
      <c r="I5" s="6" t="inlineStr">
        <is>
          <t>グルメサイト掲載店</t>
        </is>
      </c>
      <c r="J5" s="6" t="inlineStr"/>
      <c r="K5" s="6" t="inlineStr">
        <is>
          <t>未架電</t>
        </is>
      </c>
      <c r="L5" s="6" t="inlineStr"/>
      <c r="M5" s="6" t="inlineStr">
        <is>
          <t>季節の創作和菓子</t>
        </is>
      </c>
    </row>
    <row r="6">
      <c r="A6" s="5" t="n">
        <v>5</v>
      </c>
      <c r="B6" s="6" t="inlineStr">
        <is>
          <t>蔵の菓 栃木本店</t>
        </is>
      </c>
      <c r="C6" s="6" t="inlineStr">
        <is>
          <t>和菓子店</t>
        </is>
      </c>
      <c r="D6" s="6" t="inlineStr">
        <is>
          <t>栃木市</t>
        </is>
      </c>
      <c r="E6" s="6" t="inlineStr">
        <is>
          <t>蔵の街エリア</t>
        </is>
      </c>
      <c r="F6" s="7" t="inlineStr"/>
      <c r="G6" s="7" t="inlineStr">
        <is>
          <t>不明</t>
        </is>
      </c>
      <c r="H6" s="6" t="inlineStr">
        <is>
          <t>不明</t>
        </is>
      </c>
      <c r="I6" s="6" t="inlineStr">
        <is>
          <t>地域情報サイト掲載店</t>
        </is>
      </c>
      <c r="J6" s="6" t="inlineStr"/>
      <c r="K6" s="6" t="inlineStr">
        <is>
          <t>未架電</t>
        </is>
      </c>
      <c r="L6" s="6" t="inlineStr"/>
      <c r="M6" s="6" t="inlineStr">
        <is>
          <t>石蔵をリノベーション、バームクーヘン等</t>
        </is>
      </c>
    </row>
    <row r="7">
      <c r="A7" s="5" t="n">
        <v>6</v>
      </c>
      <c r="B7" s="6" t="inlineStr">
        <is>
          <t>永井百貨店</t>
        </is>
      </c>
      <c r="C7" s="6" t="inlineStr">
        <is>
          <t>雑貨店</t>
        </is>
      </c>
      <c r="D7" s="6" t="inlineStr">
        <is>
          <t>栃木市</t>
        </is>
      </c>
      <c r="E7" s="6" t="inlineStr">
        <is>
          <t>蔵の街エリア</t>
        </is>
      </c>
      <c r="F7" s="7" t="inlineStr"/>
      <c r="G7" s="7" t="inlineStr">
        <is>
          <t>不明</t>
        </is>
      </c>
      <c r="H7" s="6" t="inlineStr">
        <is>
          <t>不明</t>
        </is>
      </c>
      <c r="I7" s="6" t="inlineStr">
        <is>
          <t>観光メディア掲載店</t>
        </is>
      </c>
      <c r="J7" s="6" t="inlineStr"/>
      <c r="K7" s="6" t="inlineStr">
        <is>
          <t>未架電</t>
        </is>
      </c>
      <c r="L7" s="6" t="inlineStr"/>
      <c r="M7" s="6" t="inlineStr">
        <is>
          <t>栃木・全国のお土産セレクトショップ</t>
        </is>
      </c>
    </row>
    <row r="8">
      <c r="A8" s="5" t="n">
        <v>7</v>
      </c>
      <c r="B8" s="6" t="inlineStr">
        <is>
          <t>Feel hair face</t>
        </is>
      </c>
      <c r="C8" s="6" t="inlineStr">
        <is>
          <t>美容室</t>
        </is>
      </c>
      <c r="D8" s="6" t="inlineStr">
        <is>
          <t>栃木市</t>
        </is>
      </c>
      <c r="E8" s="6" t="inlineStr">
        <is>
          <t>蔵の街大通り沿い（万町交番付近）</t>
        </is>
      </c>
      <c r="F8" s="7" t="inlineStr"/>
      <c r="G8" s="7" t="inlineStr">
        <is>
          <t>不明</t>
        </is>
      </c>
      <c r="H8" s="6" t="inlineStr">
        <is>
          <t>不明</t>
        </is>
      </c>
      <c r="I8" s="6" t="inlineStr">
        <is>
          <t>電話帳サイト掲載店</t>
        </is>
      </c>
      <c r="J8" s="6" t="inlineStr"/>
      <c r="K8" s="6" t="inlineStr">
        <is>
          <t>未架電</t>
        </is>
      </c>
      <c r="L8" s="6" t="inlineStr"/>
      <c r="M8" s="6" t="inlineStr"/>
    </row>
    <row r="9">
      <c r="A9" s="5" t="n">
        <v>8</v>
      </c>
      <c r="B9" s="6" t="inlineStr">
        <is>
          <t>美容室エミュ 蔵の街店</t>
        </is>
      </c>
      <c r="C9" s="6" t="inlineStr">
        <is>
          <t>美容室</t>
        </is>
      </c>
      <c r="D9" s="6" t="inlineStr">
        <is>
          <t>栃木市</t>
        </is>
      </c>
      <c r="E9" s="6" t="inlineStr">
        <is>
          <t>富士見町5-32</t>
        </is>
      </c>
      <c r="F9" s="7" t="inlineStr"/>
      <c r="G9" s="7" t="inlineStr">
        <is>
          <t>不明</t>
        </is>
      </c>
      <c r="H9" s="6" t="inlineStr">
        <is>
          <t>不明</t>
        </is>
      </c>
      <c r="I9" s="6" t="inlineStr">
        <is>
          <t>地域情報サイト掲載店</t>
        </is>
      </c>
      <c r="J9" s="6" t="inlineStr"/>
      <c r="K9" s="6" t="inlineStr">
        <is>
          <t>未架電</t>
        </is>
      </c>
      <c r="L9" s="6" t="inlineStr"/>
      <c r="M9" s="6" t="inlineStr"/>
    </row>
    <row r="10">
      <c r="A10" s="5" t="n">
        <v>9</v>
      </c>
      <c r="B10" s="6" t="inlineStr">
        <is>
          <t>やまに大塚</t>
        </is>
      </c>
      <c r="C10" s="6" t="inlineStr">
        <is>
          <t>陶器店・ギャラリー</t>
        </is>
      </c>
      <c r="D10" s="6" t="inlineStr">
        <is>
          <t>益子町</t>
        </is>
      </c>
      <c r="E10" s="6" t="inlineStr">
        <is>
          <t>城内坂エリア</t>
        </is>
      </c>
      <c r="F10" s="7" t="inlineStr"/>
      <c r="G10" s="7" t="inlineStr">
        <is>
          <t>不明</t>
        </is>
      </c>
      <c r="H10" s="6" t="inlineStr">
        <is>
          <t>不明</t>
        </is>
      </c>
      <c r="I10" s="6" t="inlineStr">
        <is>
          <t>公式サイト</t>
        </is>
      </c>
      <c r="J10" s="6" t="inlineStr"/>
      <c r="K10" s="6" t="inlineStr">
        <is>
          <t>未架電</t>
        </is>
      </c>
      <c r="L10" s="6" t="inlineStr"/>
      <c r="M10" s="6" t="inlineStr">
        <is>
          <t>益子焼ギャラリー・カフェ・陶芸教室を併設</t>
        </is>
      </c>
    </row>
    <row r="11">
      <c r="A11" s="5" t="n">
        <v>10</v>
      </c>
      <c r="B11" s="6" t="inlineStr">
        <is>
          <t>益子焼窯元 つかもと</t>
        </is>
      </c>
      <c r="C11" s="6" t="inlineStr">
        <is>
          <t>陶器店・ギャラリー</t>
        </is>
      </c>
      <c r="D11" s="6" t="inlineStr">
        <is>
          <t>益子町</t>
        </is>
      </c>
      <c r="E11" s="6" t="inlineStr">
        <is>
          <t>城内坂通り</t>
        </is>
      </c>
      <c r="F11" s="7" t="inlineStr"/>
      <c r="G11" s="7" t="inlineStr">
        <is>
          <t>不明</t>
        </is>
      </c>
      <c r="H11" s="6" t="inlineStr">
        <is>
          <t>不明</t>
        </is>
      </c>
      <c r="I11" s="6" t="inlineStr">
        <is>
          <t>観光メディア掲載店</t>
        </is>
      </c>
      <c r="J11" s="6" t="inlineStr"/>
      <c r="K11" s="6" t="inlineStr">
        <is>
          <t>未架電</t>
        </is>
      </c>
      <c r="L11" s="6" t="inlineStr"/>
      <c r="M11" s="6" t="inlineStr">
        <is>
          <t>ギャラリー・カフェ・レストラン併設</t>
        </is>
      </c>
    </row>
    <row r="12">
      <c r="A12" s="5" t="n">
        <v>11</v>
      </c>
      <c r="B12" s="6" t="inlineStr">
        <is>
          <t>tete+gallery</t>
        </is>
      </c>
      <c r="C12" s="6" t="inlineStr">
        <is>
          <t>陶器店・ギャラリー</t>
        </is>
      </c>
      <c r="D12" s="6" t="inlineStr">
        <is>
          <t>益子町</t>
        </is>
      </c>
      <c r="E12" s="6" t="inlineStr">
        <is>
          <t>益子駅〜城内坂の途中</t>
        </is>
      </c>
      <c r="F12" s="7" t="inlineStr"/>
      <c r="G12" s="7" t="inlineStr">
        <is>
          <t>不明</t>
        </is>
      </c>
      <c r="H12" s="6" t="inlineStr">
        <is>
          <t>不明</t>
        </is>
      </c>
      <c r="I12" s="6" t="inlineStr">
        <is>
          <t>観光メディア掲載店</t>
        </is>
      </c>
      <c r="J12" s="6" t="inlineStr"/>
      <c r="K12" s="6" t="inlineStr">
        <is>
          <t>未架電</t>
        </is>
      </c>
      <c r="L12" s="6" t="inlineStr"/>
      <c r="M12" s="6" t="inlineStr">
        <is>
          <t>作家本人が制作する陶器ギャラリー</t>
        </is>
      </c>
    </row>
    <row r="13">
      <c r="A13" s="5" t="n">
        <v>12</v>
      </c>
      <c r="B13" s="6" t="inlineStr">
        <is>
          <t>益子の茶屋（窯元よこやま）</t>
        </is>
      </c>
      <c r="C13" s="6" t="inlineStr">
        <is>
          <t>カフェ</t>
        </is>
      </c>
      <c r="D13" s="6" t="inlineStr">
        <is>
          <t>益子町</t>
        </is>
      </c>
      <c r="E13" s="6" t="inlineStr">
        <is>
          <t>城内坂エリア</t>
        </is>
      </c>
      <c r="F13" s="7" t="inlineStr"/>
      <c r="G13" s="7" t="inlineStr">
        <is>
          <t>不明</t>
        </is>
      </c>
      <c r="H13" s="6" t="inlineStr">
        <is>
          <t>不明</t>
        </is>
      </c>
      <c r="I13" s="6" t="inlineStr">
        <is>
          <t>公式サイト</t>
        </is>
      </c>
      <c r="J13" s="6" t="inlineStr"/>
      <c r="K13" s="6" t="inlineStr">
        <is>
          <t>未架電</t>
        </is>
      </c>
      <c r="L13" s="6" t="inlineStr"/>
      <c r="M13" s="6" t="inlineStr">
        <is>
          <t>益子焼の器で提供する陶芸カフェレストラン</t>
        </is>
      </c>
    </row>
    <row r="14">
      <c r="A14" s="5" t="n">
        <v>13</v>
      </c>
      <c r="B14" s="6" t="inlineStr">
        <is>
          <t>古民家のカフェ 夢屋</t>
        </is>
      </c>
      <c r="C14" s="6" t="inlineStr">
        <is>
          <t>カフェ</t>
        </is>
      </c>
      <c r="D14" s="6" t="inlineStr">
        <is>
          <t>那須町</t>
        </is>
      </c>
      <c r="E14" s="6" t="inlineStr">
        <is>
          <t>那須高原（森の中）</t>
        </is>
      </c>
      <c r="F14" s="7" t="inlineStr"/>
      <c r="G14" s="7" t="inlineStr">
        <is>
          <t>不明</t>
        </is>
      </c>
      <c r="H14" s="6" t="inlineStr">
        <is>
          <t>不明</t>
        </is>
      </c>
      <c r="I14" s="6" t="inlineStr">
        <is>
          <t>観光メディア掲載店</t>
        </is>
      </c>
      <c r="J14" s="6" t="inlineStr"/>
      <c r="K14" s="6" t="inlineStr">
        <is>
          <t>未架電</t>
        </is>
      </c>
      <c r="L14" s="6" t="inlineStr"/>
      <c r="M14" s="6" t="inlineStr">
        <is>
          <t>古民家を改装したカフェ</t>
        </is>
      </c>
    </row>
    <row r="15">
      <c r="A15" s="5" t="n">
        <v>14</v>
      </c>
      <c r="B15" s="6" t="inlineStr">
        <is>
          <t>craft&amp;design WHITE NOTE</t>
        </is>
      </c>
      <c r="C15" s="6" t="inlineStr">
        <is>
          <t>雑貨店</t>
        </is>
      </c>
      <c r="D15" s="6" t="inlineStr">
        <is>
          <t>那須町</t>
        </is>
      </c>
      <c r="E15" s="6" t="inlineStr">
        <is>
          <t>那須高原</t>
        </is>
      </c>
      <c r="F15" s="7" t="inlineStr"/>
      <c r="G15" s="7" t="inlineStr">
        <is>
          <t>不明</t>
        </is>
      </c>
      <c r="H15" s="6" t="inlineStr">
        <is>
          <t>不明</t>
        </is>
      </c>
      <c r="I15" s="6" t="inlineStr">
        <is>
          <t>観光メディア掲載店</t>
        </is>
      </c>
      <c r="J15" s="6" t="inlineStr"/>
      <c r="K15" s="6" t="inlineStr">
        <is>
          <t>未架電</t>
        </is>
      </c>
      <c r="L15" s="6" t="inlineStr"/>
      <c r="M15" s="6" t="inlineStr">
        <is>
          <t>生活道具・手作り雑貨の店</t>
        </is>
      </c>
    </row>
    <row r="16">
      <c r="A16" s="5" t="n">
        <v>15</v>
      </c>
      <c r="B16" s="6" t="inlineStr">
        <is>
          <t>ペニー・レイン 那須店</t>
        </is>
      </c>
      <c r="C16" s="6" t="inlineStr">
        <is>
          <t>カフェ</t>
        </is>
      </c>
      <c r="D16" s="6" t="inlineStr">
        <is>
          <t>那須町</t>
        </is>
      </c>
      <c r="E16" s="6" t="inlineStr">
        <is>
          <t>那須高原</t>
        </is>
      </c>
      <c r="F16" s="7" t="inlineStr"/>
      <c r="G16" s="7" t="inlineStr">
        <is>
          <t>不明</t>
        </is>
      </c>
      <c r="H16" s="6" t="inlineStr">
        <is>
          <t>不明</t>
        </is>
      </c>
      <c r="I16" s="6" t="inlineStr">
        <is>
          <t>観光メディア掲載店</t>
        </is>
      </c>
      <c r="J16" s="6" t="inlineStr"/>
      <c r="K16" s="6" t="inlineStr">
        <is>
          <t>未架電</t>
        </is>
      </c>
      <c r="L16" s="6" t="inlineStr"/>
      <c r="M16" s="6" t="inlineStr"/>
    </row>
    <row r="17">
      <c r="A17" s="5" t="n">
        <v>16</v>
      </c>
      <c r="B17" s="6" t="inlineStr">
        <is>
          <t>NASU SHOZO CAFE</t>
        </is>
      </c>
      <c r="C17" s="6" t="inlineStr">
        <is>
          <t>カフェ</t>
        </is>
      </c>
      <c r="D17" s="6" t="inlineStr">
        <is>
          <t>那須町</t>
        </is>
      </c>
      <c r="E17" s="6" t="inlineStr">
        <is>
          <t>那須高原</t>
        </is>
      </c>
      <c r="F17" s="7" t="inlineStr"/>
      <c r="G17" s="7" t="inlineStr">
        <is>
          <t>不明</t>
        </is>
      </c>
      <c r="H17" s="6" t="inlineStr">
        <is>
          <t>不明</t>
        </is>
      </c>
      <c r="I17" s="6" t="inlineStr">
        <is>
          <t>観光メディア掲載店</t>
        </is>
      </c>
      <c r="J17" s="6" t="inlineStr"/>
      <c r="K17" s="6" t="inlineStr">
        <is>
          <t>未架電</t>
        </is>
      </c>
      <c r="L17" s="6" t="inlineStr"/>
      <c r="M17" s="6" t="inlineStr"/>
    </row>
    <row r="18">
      <c r="A18" s="5" t="n">
        <v>17</v>
      </c>
      <c r="B18" s="6" t="inlineStr">
        <is>
          <t>Cafe La Detente（自家焙煎 那須珈琲）</t>
        </is>
      </c>
      <c r="C18" s="6" t="inlineStr">
        <is>
          <t>カフェ</t>
        </is>
      </c>
      <c r="D18" s="6" t="inlineStr">
        <is>
          <t>那須町</t>
        </is>
      </c>
      <c r="E18" s="6" t="inlineStr">
        <is>
          <t>那須高原</t>
        </is>
      </c>
      <c r="F18" s="7" t="inlineStr"/>
      <c r="G18" s="7" t="inlineStr">
        <is>
          <t>不明</t>
        </is>
      </c>
      <c r="H18" s="6" t="inlineStr">
        <is>
          <t>不明</t>
        </is>
      </c>
      <c r="I18" s="6" t="inlineStr">
        <is>
          <t>観光メディア掲載店</t>
        </is>
      </c>
      <c r="J18" s="6" t="inlineStr"/>
      <c r="K18" s="6" t="inlineStr">
        <is>
          <t>未架電</t>
        </is>
      </c>
      <c r="L18" s="6" t="inlineStr"/>
      <c r="M18" s="6" t="inlineStr">
        <is>
          <t>自家焙煎コーヒーの店</t>
        </is>
      </c>
    </row>
    <row r="19">
      <c r="A19" s="5" t="n">
        <v>18</v>
      </c>
      <c r="B19" s="6" t="inlineStr">
        <is>
          <t>Cafe St.Croix</t>
        </is>
      </c>
      <c r="C19" s="6" t="inlineStr">
        <is>
          <t>カフェ</t>
        </is>
      </c>
      <c r="D19" s="6" t="inlineStr">
        <is>
          <t>那須町</t>
        </is>
      </c>
      <c r="E19" s="6" t="inlineStr">
        <is>
          <t>那須高原</t>
        </is>
      </c>
      <c r="F19" s="7" t="inlineStr"/>
      <c r="G19" s="7" t="inlineStr">
        <is>
          <t>不明</t>
        </is>
      </c>
      <c r="H19" s="6" t="inlineStr">
        <is>
          <t>不明</t>
        </is>
      </c>
      <c r="I19" s="6" t="inlineStr">
        <is>
          <t>観光メディア掲載店</t>
        </is>
      </c>
      <c r="J19" s="6" t="inlineStr"/>
      <c r="K19" s="6" t="inlineStr">
        <is>
          <t>未架電</t>
        </is>
      </c>
      <c r="L19" s="6" t="inlineStr"/>
      <c r="M19" s="6" t="inlineStr">
        <is>
          <t>薪ストーブと珈琲の店</t>
        </is>
      </c>
    </row>
    <row r="20">
      <c r="A20" s="5" t="n">
        <v>19</v>
      </c>
      <c r="B20" s="6" t="inlineStr">
        <is>
          <t>本宮カフェ</t>
        </is>
      </c>
      <c r="C20" s="6" t="inlineStr">
        <is>
          <t>カフェ</t>
        </is>
      </c>
      <c r="D20" s="6" t="inlineStr">
        <is>
          <t>日光市</t>
        </is>
      </c>
      <c r="E20" s="6" t="inlineStr">
        <is>
          <t>山内2384</t>
        </is>
      </c>
      <c r="F20" s="7" t="inlineStr"/>
      <c r="G20" s="7" t="inlineStr">
        <is>
          <t>不明</t>
        </is>
      </c>
      <c r="H20" s="6" t="inlineStr">
        <is>
          <t>不明</t>
        </is>
      </c>
      <c r="I20" s="6" t="inlineStr">
        <is>
          <t>観光メディア掲載店</t>
        </is>
      </c>
      <c r="J20" s="6" t="inlineStr"/>
      <c r="K20" s="6" t="inlineStr">
        <is>
          <t>未架電</t>
        </is>
      </c>
      <c r="L20" s="6" t="inlineStr"/>
      <c r="M20" s="6" t="inlineStr">
        <is>
          <t>築330余年の古民家カフェ</t>
        </is>
      </c>
    </row>
    <row r="21">
      <c r="A21" s="5" t="n">
        <v>20</v>
      </c>
      <c r="B21" s="6" t="inlineStr">
        <is>
          <t>湯沢屋直営カフェ</t>
        </is>
      </c>
      <c r="C21" s="6" t="inlineStr">
        <is>
          <t>和菓子店</t>
        </is>
      </c>
      <c r="D21" s="6" t="inlineStr">
        <is>
          <t>日光市</t>
        </is>
      </c>
      <c r="E21" s="6" t="inlineStr">
        <is>
          <t>日光東照宮 参道エリア</t>
        </is>
      </c>
      <c r="F21" s="7" t="inlineStr"/>
      <c r="G21" s="7" t="inlineStr">
        <is>
          <t>不明</t>
        </is>
      </c>
      <c r="H21" s="6" t="inlineStr">
        <is>
          <t>不明</t>
        </is>
      </c>
      <c r="I21" s="6" t="inlineStr">
        <is>
          <t>観光メディア掲載店</t>
        </is>
      </c>
      <c r="J21" s="6" t="inlineStr"/>
      <c r="K21" s="6" t="inlineStr">
        <is>
          <t>未架電</t>
        </is>
      </c>
      <c r="L21" s="6" t="inlineStr"/>
      <c r="M21" s="6" t="inlineStr">
        <is>
          <t>明治創業の老舗和菓子店直営、湯波料理も提供</t>
        </is>
      </c>
    </row>
    <row r="22">
      <c r="A22" s="5" t="n">
        <v>21</v>
      </c>
      <c r="B22" s="6" t="inlineStr">
        <is>
          <t>さかえや</t>
        </is>
      </c>
      <c r="C22" s="6" t="inlineStr">
        <is>
          <t>土産店</t>
        </is>
      </c>
      <c r="D22" s="6" t="inlineStr">
        <is>
          <t>日光市</t>
        </is>
      </c>
      <c r="E22" s="6" t="inlineStr">
        <is>
          <t>東武日光駅前</t>
        </is>
      </c>
      <c r="F22" s="7" t="inlineStr"/>
      <c r="G22" s="7" t="inlineStr">
        <is>
          <t>不明</t>
        </is>
      </c>
      <c r="H22" s="6" t="inlineStr">
        <is>
          <t>不明</t>
        </is>
      </c>
      <c r="I22" s="6" t="inlineStr">
        <is>
          <t>観光メディア掲載店</t>
        </is>
      </c>
      <c r="J22" s="6" t="inlineStr"/>
      <c r="K22" s="6" t="inlineStr">
        <is>
          <t>未架電</t>
        </is>
      </c>
      <c r="L22" s="6" t="inlineStr"/>
      <c r="M22" s="6" t="inlineStr">
        <is>
          <t>創業60年以上、揚げゆばまんじゅうが名物</t>
        </is>
      </c>
    </row>
    <row r="23">
      <c r="A23" s="5" t="n">
        <v>22</v>
      </c>
      <c r="B23" s="6" t="inlineStr">
        <is>
          <t>油源</t>
        </is>
      </c>
      <c r="C23" s="6" t="inlineStr">
        <is>
          <t>土産店</t>
        </is>
      </c>
      <c r="D23" s="6" t="inlineStr">
        <is>
          <t>日光市</t>
        </is>
      </c>
      <c r="E23" s="6" t="inlineStr">
        <is>
          <t>日光東照宮周辺</t>
        </is>
      </c>
      <c r="F23" s="7" t="inlineStr"/>
      <c r="G23" s="7" t="inlineStr">
        <is>
          <t>不明</t>
        </is>
      </c>
      <c r="H23" s="6" t="inlineStr">
        <is>
          <t>不明</t>
        </is>
      </c>
      <c r="I23" s="6" t="inlineStr">
        <is>
          <t>観光メディア掲載店</t>
        </is>
      </c>
      <c r="J23" s="6" t="inlineStr"/>
      <c r="K23" s="6" t="inlineStr">
        <is>
          <t>未架電</t>
        </is>
      </c>
      <c r="L23" s="6" t="inlineStr"/>
      <c r="M23" s="6" t="inlineStr">
        <is>
          <t>1859年創業の老舗</t>
        </is>
      </c>
    </row>
    <row r="24">
      <c r="A24" s="5" t="n">
        <v>23</v>
      </c>
      <c r="B24" s="6" t="inlineStr">
        <is>
          <t>宇都宮みんみん 本店</t>
        </is>
      </c>
      <c r="C24" s="6" t="inlineStr">
        <is>
          <t>飲食店</t>
        </is>
      </c>
      <c r="D24" s="6" t="inlineStr">
        <is>
          <t>宇都宮市</t>
        </is>
      </c>
      <c r="E24" s="6" t="inlineStr">
        <is>
          <t>宇都宮駅前エリア</t>
        </is>
      </c>
      <c r="F24" s="7" t="inlineStr"/>
      <c r="G24" s="7" t="inlineStr">
        <is>
          <t>不明</t>
        </is>
      </c>
      <c r="H24" s="6" t="inlineStr">
        <is>
          <t>不明</t>
        </is>
      </c>
      <c r="I24" s="6" t="inlineStr">
        <is>
          <t>観光メディア掲載店</t>
        </is>
      </c>
      <c r="J24" s="6" t="inlineStr"/>
      <c r="K24" s="6" t="inlineStr">
        <is>
          <t>未架電</t>
        </is>
      </c>
      <c r="L24" s="6" t="inlineStr"/>
      <c r="M24" s="6" t="inlineStr">
        <is>
          <t>昭和33年創業の老舗餃子専門店</t>
        </is>
      </c>
    </row>
    <row r="25">
      <c r="A25" s="5" t="n">
        <v>24</v>
      </c>
      <c r="B25" s="6" t="inlineStr">
        <is>
          <t>正嗣 宮島本店</t>
        </is>
      </c>
      <c r="C25" s="6" t="inlineStr">
        <is>
          <t>飲食店</t>
        </is>
      </c>
      <c r="D25" s="6" t="inlineStr">
        <is>
          <t>宇都宮市</t>
        </is>
      </c>
      <c r="E25" s="6" t="inlineStr">
        <is>
          <t>宮島町</t>
        </is>
      </c>
      <c r="F25" s="7" t="inlineStr"/>
      <c r="G25" s="7" t="inlineStr">
        <is>
          <t>不明</t>
        </is>
      </c>
      <c r="H25" s="6" t="inlineStr">
        <is>
          <t>不明</t>
        </is>
      </c>
      <c r="I25" s="6" t="inlineStr">
        <is>
          <t>観光メディア掲載店</t>
        </is>
      </c>
      <c r="J25" s="6" t="inlineStr"/>
      <c r="K25" s="6" t="inlineStr">
        <is>
          <t>未架電</t>
        </is>
      </c>
      <c r="L25" s="6" t="inlineStr"/>
      <c r="M25" s="6" t="inlineStr">
        <is>
          <t>昭和40年創業、焼餃子と水餃子のみの専門店</t>
        </is>
      </c>
    </row>
    <row r="26">
      <c r="A26" s="5" t="n">
        <v>25</v>
      </c>
      <c r="B26" s="6" t="inlineStr">
        <is>
          <t>香蘭</t>
        </is>
      </c>
      <c r="C26" s="6" t="inlineStr">
        <is>
          <t>飲食店</t>
        </is>
      </c>
      <c r="D26" s="6" t="inlineStr">
        <is>
          <t>宇都宮市</t>
        </is>
      </c>
      <c r="E26" s="6" t="inlineStr">
        <is>
          <t>宇都宮駅前</t>
        </is>
      </c>
      <c r="F26" s="7" t="inlineStr"/>
      <c r="G26" s="7" t="inlineStr">
        <is>
          <t>不明</t>
        </is>
      </c>
      <c r="H26" s="6" t="inlineStr">
        <is>
          <t>不明</t>
        </is>
      </c>
      <c r="I26" s="6" t="inlineStr">
        <is>
          <t>公式サイト</t>
        </is>
      </c>
      <c r="J26" s="6" t="inlineStr"/>
      <c r="K26" s="6" t="inlineStr">
        <is>
          <t>未架電</t>
        </is>
      </c>
      <c r="L26" s="6" t="inlineStr"/>
      <c r="M26" s="6" t="inlineStr">
        <is>
          <t>創業昭和34年の老舗餃子店</t>
        </is>
      </c>
    </row>
    <row r="27">
      <c r="A27" s="5" t="n">
        <v>26</v>
      </c>
      <c r="B27" s="6" t="inlineStr">
        <is>
          <t>青源</t>
        </is>
      </c>
      <c r="C27" s="6" t="inlineStr">
        <is>
          <t>飲食店</t>
        </is>
      </c>
      <c r="D27" s="6" t="inlineStr">
        <is>
          <t>宇都宮市</t>
        </is>
      </c>
      <c r="E27" s="6" t="inlineStr"/>
      <c r="F27" s="7" t="inlineStr"/>
      <c r="G27" s="7" t="inlineStr">
        <is>
          <t>不明</t>
        </is>
      </c>
      <c r="H27" s="6" t="inlineStr">
        <is>
          <t>不明</t>
        </is>
      </c>
      <c r="I27" s="6" t="inlineStr">
        <is>
          <t>観光メディア掲載店</t>
        </is>
      </c>
      <c r="J27" s="6" t="inlineStr"/>
      <c r="K27" s="6" t="inlineStr">
        <is>
          <t>未架電</t>
        </is>
      </c>
      <c r="L27" s="6" t="inlineStr"/>
      <c r="M27" s="6" t="inlineStr">
        <is>
          <t>創業300年以上の老舗味噌屋が手がける餃子店</t>
        </is>
      </c>
    </row>
    <row r="28">
      <c r="A28" s="5" t="n">
        <v>27</v>
      </c>
      <c r="B28" s="6" t="inlineStr">
        <is>
          <t>かふえあんでぃーぶ</t>
        </is>
      </c>
      <c r="C28" s="6" t="inlineStr">
        <is>
          <t>カフェ</t>
        </is>
      </c>
      <c r="D28" s="6" t="inlineStr">
        <is>
          <t>足利市</t>
        </is>
      </c>
      <c r="E28" s="6" t="inlineStr"/>
      <c r="F28" s="7" t="inlineStr"/>
      <c r="G28" s="7" t="inlineStr">
        <is>
          <t>不明</t>
        </is>
      </c>
      <c r="H28" s="6" t="inlineStr">
        <is>
          <t>不明</t>
        </is>
      </c>
      <c r="I28" s="6" t="inlineStr">
        <is>
          <t>観光メディア掲載店</t>
        </is>
      </c>
      <c r="J28" s="6" t="inlineStr"/>
      <c r="K28" s="6" t="inlineStr">
        <is>
          <t>未架電</t>
        </is>
      </c>
      <c r="L28" s="6" t="inlineStr"/>
      <c r="M28" s="6" t="inlineStr">
        <is>
          <t>老舗カフェ、ドリップコーヒー</t>
        </is>
      </c>
    </row>
    <row r="29">
      <c r="A29" s="5" t="n">
        <v>28</v>
      </c>
      <c r="B29" s="6" t="inlineStr">
        <is>
          <t>珈琲蔵</t>
        </is>
      </c>
      <c r="C29" s="6" t="inlineStr">
        <is>
          <t>カフェ</t>
        </is>
      </c>
      <c r="D29" s="6" t="inlineStr">
        <is>
          <t>足利市</t>
        </is>
      </c>
      <c r="E29" s="6" t="inlineStr"/>
      <c r="F29" s="7" t="inlineStr"/>
      <c r="G29" s="7" t="inlineStr">
        <is>
          <t>不明</t>
        </is>
      </c>
      <c r="H29" s="6" t="inlineStr">
        <is>
          <t>不明</t>
        </is>
      </c>
      <c r="I29" s="6" t="inlineStr">
        <is>
          <t>観光メディア掲載店</t>
        </is>
      </c>
      <c r="J29" s="6" t="inlineStr"/>
      <c r="K29" s="6" t="inlineStr">
        <is>
          <t>未架電</t>
        </is>
      </c>
      <c r="L29" s="6" t="inlineStr"/>
      <c r="M29" s="6" t="inlineStr">
        <is>
          <t>蔵を改装した喫茶店</t>
        </is>
      </c>
    </row>
    <row r="30">
      <c r="A30" s="5" t="n">
        <v>29</v>
      </c>
      <c r="B30" s="6" t="inlineStr">
        <is>
          <t>八蔵（はちくら）</t>
        </is>
      </c>
      <c r="C30" s="6" t="inlineStr">
        <is>
          <t>カフェ</t>
        </is>
      </c>
      <c r="D30" s="6" t="inlineStr">
        <is>
          <t>足利市</t>
        </is>
      </c>
      <c r="E30" s="6" t="inlineStr">
        <is>
          <t>足利駅南口徒歩8分・石畳通り</t>
        </is>
      </c>
      <c r="F30" s="7" t="inlineStr"/>
      <c r="G30" s="7" t="inlineStr">
        <is>
          <t>不明</t>
        </is>
      </c>
      <c r="H30" s="6" t="inlineStr">
        <is>
          <t>不明</t>
        </is>
      </c>
      <c r="I30" s="6" t="inlineStr">
        <is>
          <t>観光メディア掲載店</t>
        </is>
      </c>
      <c r="J30" s="6" t="inlineStr"/>
      <c r="K30" s="6" t="inlineStr">
        <is>
          <t>未架電</t>
        </is>
      </c>
      <c r="L30" s="6" t="inlineStr"/>
      <c r="M30" s="6" t="inlineStr">
        <is>
          <t>米蔵をリノベーションした古民家カフェ</t>
        </is>
      </c>
    </row>
    <row r="31">
      <c r="A31" s="5" t="n">
        <v>30</v>
      </c>
      <c r="B31" s="6" t="inlineStr">
        <is>
          <t>茶房のの</t>
        </is>
      </c>
      <c r="C31" s="6" t="inlineStr">
        <is>
          <t>カフェ</t>
        </is>
      </c>
      <c r="D31" s="6" t="inlineStr">
        <is>
          <t>足利市</t>
        </is>
      </c>
      <c r="E31" s="6" t="inlineStr">
        <is>
          <t>八幡町</t>
        </is>
      </c>
      <c r="F31" s="7" t="inlineStr"/>
      <c r="G31" s="7" t="inlineStr">
        <is>
          <t>不明</t>
        </is>
      </c>
      <c r="H31" s="6" t="inlineStr">
        <is>
          <t>不明</t>
        </is>
      </c>
      <c r="I31" s="6" t="inlineStr">
        <is>
          <t>公式サイト</t>
        </is>
      </c>
      <c r="J31" s="6" t="inlineStr"/>
      <c r="K31" s="6" t="inlineStr">
        <is>
          <t>未架電</t>
        </is>
      </c>
      <c r="L31" s="6" t="inlineStr"/>
      <c r="M31" s="6" t="inlineStr">
        <is>
          <t>古民家カフェ、あんみつ・かき氷</t>
        </is>
      </c>
    </row>
    <row r="32">
      <c r="A32" s="5" t="n">
        <v>31</v>
      </c>
      <c r="B32" s="6" t="inlineStr">
        <is>
          <t>麺や 大山</t>
        </is>
      </c>
      <c r="C32" s="6" t="inlineStr">
        <is>
          <t>飲食店</t>
        </is>
      </c>
      <c r="D32" s="6" t="inlineStr">
        <is>
          <t>佐野市</t>
        </is>
      </c>
      <c r="E32" s="6" t="inlineStr"/>
      <c r="F32" s="7" t="inlineStr"/>
      <c r="G32" s="7" t="inlineStr">
        <is>
          <t>不明</t>
        </is>
      </c>
      <c r="H32" s="6" t="inlineStr">
        <is>
          <t>不明</t>
        </is>
      </c>
      <c r="I32" s="6" t="inlineStr">
        <is>
          <t>グルメサイト掲載店</t>
        </is>
      </c>
      <c r="J32" s="6" t="inlineStr"/>
      <c r="K32" s="6" t="inlineStr">
        <is>
          <t>未架電</t>
        </is>
      </c>
      <c r="L32" s="6" t="inlineStr"/>
      <c r="M32" s="6" t="inlineStr">
        <is>
          <t>佐野ラーメンの名店、青竹手打ち麺</t>
        </is>
      </c>
    </row>
    <row r="33">
      <c r="A33" s="5" t="n">
        <v>32</v>
      </c>
      <c r="B33" s="6" t="inlineStr">
        <is>
          <t>麺屋ようすけ</t>
        </is>
      </c>
      <c r="C33" s="6" t="inlineStr">
        <is>
          <t>飲食店</t>
        </is>
      </c>
      <c r="D33" s="6" t="inlineStr">
        <is>
          <t>佐野市</t>
        </is>
      </c>
      <c r="E33" s="6" t="inlineStr"/>
      <c r="F33" s="7" t="inlineStr"/>
      <c r="G33" s="7" t="inlineStr">
        <is>
          <t>不明</t>
        </is>
      </c>
      <c r="H33" s="6" t="inlineStr">
        <is>
          <t>不明</t>
        </is>
      </c>
      <c r="I33" s="6" t="inlineStr">
        <is>
          <t>グルメサイト掲載店</t>
        </is>
      </c>
      <c r="J33" s="6" t="inlineStr"/>
      <c r="K33" s="6" t="inlineStr">
        <is>
          <t>未架電</t>
        </is>
      </c>
      <c r="L33" s="6" t="inlineStr"/>
      <c r="M33" s="6" t="inlineStr">
        <is>
          <t>佐野ラーメン、透き通るスープ</t>
        </is>
      </c>
    </row>
    <row r="34">
      <c r="A34" s="5" t="n">
        <v>33</v>
      </c>
      <c r="B34" s="6" t="inlineStr">
        <is>
          <t>森田屋総本店</t>
        </is>
      </c>
      <c r="C34" s="6" t="inlineStr">
        <is>
          <t>飲食店</t>
        </is>
      </c>
      <c r="D34" s="6" t="inlineStr">
        <is>
          <t>佐野市</t>
        </is>
      </c>
      <c r="E34" s="6" t="inlineStr"/>
      <c r="F34" s="7" t="inlineStr"/>
      <c r="G34" s="7" t="inlineStr">
        <is>
          <t>不明</t>
        </is>
      </c>
      <c r="H34" s="6" t="inlineStr">
        <is>
          <t>不明</t>
        </is>
      </c>
      <c r="I34" s="6" t="inlineStr">
        <is>
          <t>グルメサイト掲載店</t>
        </is>
      </c>
      <c r="J34" s="6" t="inlineStr"/>
      <c r="K34" s="6" t="inlineStr">
        <is>
          <t>未架電</t>
        </is>
      </c>
      <c r="L34" s="6" t="inlineStr"/>
      <c r="M34" s="6" t="inlineStr">
        <is>
          <t>佐野ラーメン、麺・チャーシュー・スープ全て自家製</t>
        </is>
      </c>
    </row>
    <row r="35">
      <c r="A35" s="5" t="n">
        <v>34</v>
      </c>
      <c r="B35" s="6" t="inlineStr">
        <is>
          <t>クラシック・カフェ音楽館</t>
        </is>
      </c>
      <c r="C35" s="6" t="inlineStr">
        <is>
          <t>カフェ</t>
        </is>
      </c>
      <c r="D35" s="6" t="inlineStr">
        <is>
          <t>小山市</t>
        </is>
      </c>
      <c r="E35" s="6" t="inlineStr">
        <is>
          <t>犬塚5丁目</t>
        </is>
      </c>
      <c r="F35" s="7" t="inlineStr"/>
      <c r="G35" s="7" t="inlineStr">
        <is>
          <t>不明</t>
        </is>
      </c>
      <c r="H35" s="6" t="inlineStr">
        <is>
          <t>不明</t>
        </is>
      </c>
      <c r="I35" s="6" t="inlineStr">
        <is>
          <t>グルメサイト掲載店</t>
        </is>
      </c>
      <c r="J35" s="6" t="inlineStr"/>
      <c r="K35" s="6" t="inlineStr">
        <is>
          <t>未架電</t>
        </is>
      </c>
      <c r="L35" s="6" t="inlineStr"/>
      <c r="M35" s="6" t="inlineStr">
        <is>
          <t>古民家、クラシック音楽が流れる店内</t>
        </is>
      </c>
    </row>
    <row r="36">
      <c r="A36" s="5" t="n">
        <v>35</v>
      </c>
      <c r="B36" s="6" t="inlineStr">
        <is>
          <t>だんご茶屋</t>
        </is>
      </c>
      <c r="C36" s="6" t="inlineStr">
        <is>
          <t>和菓子店</t>
        </is>
      </c>
      <c r="D36" s="6" t="inlineStr">
        <is>
          <t>小山市</t>
        </is>
      </c>
      <c r="E36" s="6" t="inlineStr">
        <is>
          <t>小山第二中学校付近</t>
        </is>
      </c>
      <c r="F36" s="7" t="inlineStr"/>
      <c r="G36" s="7" t="inlineStr">
        <is>
          <t>不明</t>
        </is>
      </c>
      <c r="H36" s="6" t="inlineStr">
        <is>
          <t>不明</t>
        </is>
      </c>
      <c r="I36" s="6" t="inlineStr">
        <is>
          <t>グルメサイト掲載店</t>
        </is>
      </c>
      <c r="J36" s="6" t="inlineStr"/>
      <c r="K36" s="6" t="inlineStr">
        <is>
          <t>未架電</t>
        </is>
      </c>
      <c r="L36" s="6" t="inlineStr"/>
      <c r="M36" s="6" t="inlineStr">
        <is>
          <t>白玉ぜんざいなど</t>
        </is>
      </c>
    </row>
    <row r="37">
      <c r="A37" s="5" t="n">
        <v>36</v>
      </c>
      <c r="B37" s="6" t="inlineStr">
        <is>
          <t>居場所カフェ・あおぞら</t>
        </is>
      </c>
      <c r="C37" s="6" t="inlineStr">
        <is>
          <t>カフェ</t>
        </is>
      </c>
      <c r="D37" s="6" t="inlineStr">
        <is>
          <t>小山市</t>
        </is>
      </c>
      <c r="E37" s="6" t="inlineStr"/>
      <c r="F37" s="7" t="inlineStr"/>
      <c r="G37" s="7" t="inlineStr">
        <is>
          <t>不明</t>
        </is>
      </c>
      <c r="H37" s="6" t="inlineStr">
        <is>
          <t>不明</t>
        </is>
      </c>
      <c r="I37" s="6" t="inlineStr">
        <is>
          <t>グルメサイト掲載店</t>
        </is>
      </c>
      <c r="J37" s="6" t="inlineStr"/>
      <c r="K37" s="6" t="inlineStr">
        <is>
          <t>未架電</t>
        </is>
      </c>
      <c r="L37" s="6" t="inlineStr"/>
      <c r="M37" s="6" t="inlineStr">
        <is>
          <t>無農薬野菜を使った健康志向カフェ</t>
        </is>
      </c>
    </row>
    <row r="38">
      <c r="A38" s="5" t="n">
        <v>37</v>
      </c>
      <c r="B38" s="6" t="inlineStr">
        <is>
          <t>CafeQ</t>
        </is>
      </c>
      <c r="C38" s="6" t="inlineStr">
        <is>
          <t>カフェ</t>
        </is>
      </c>
      <c r="D38" s="6" t="inlineStr">
        <is>
          <t>小山市</t>
        </is>
      </c>
      <c r="E38" s="6" t="inlineStr">
        <is>
          <t>城東</t>
        </is>
      </c>
      <c r="F38" s="7" t="inlineStr"/>
      <c r="G38" s="7" t="inlineStr">
        <is>
          <t>不明</t>
        </is>
      </c>
      <c r="H38" s="6" t="inlineStr">
        <is>
          <t>不明</t>
        </is>
      </c>
      <c r="I38" s="6" t="inlineStr">
        <is>
          <t>グルメサイト掲載店</t>
        </is>
      </c>
      <c r="J38" s="6" t="inlineStr"/>
      <c r="K38" s="6" t="inlineStr">
        <is>
          <t>未架電</t>
        </is>
      </c>
      <c r="L38" s="6" t="inlineStr"/>
      <c r="M38" s="6" t="inlineStr">
        <is>
          <t>山小屋風、ハンバーガーが名物</t>
        </is>
      </c>
    </row>
    <row r="39">
      <c r="A39" s="5" t="n">
        <v>38</v>
      </c>
      <c r="B39" s="6" t="inlineStr">
        <is>
          <t>Bee House</t>
        </is>
      </c>
      <c r="C39" s="6" t="inlineStr">
        <is>
          <t>カフェ</t>
        </is>
      </c>
      <c r="D39" s="6" t="inlineStr">
        <is>
          <t>小山市</t>
        </is>
      </c>
      <c r="E39" s="6" t="inlineStr">
        <is>
          <t>国道50号沿い</t>
        </is>
      </c>
      <c r="F39" s="7" t="inlineStr"/>
      <c r="G39" s="7" t="inlineStr">
        <is>
          <t>不明</t>
        </is>
      </c>
      <c r="H39" s="6" t="inlineStr">
        <is>
          <t>不明</t>
        </is>
      </c>
      <c r="I39" s="6" t="inlineStr">
        <is>
          <t>グルメサイト掲載店</t>
        </is>
      </c>
      <c r="J39" s="6" t="inlineStr"/>
      <c r="K39" s="6" t="inlineStr">
        <is>
          <t>未架電</t>
        </is>
      </c>
      <c r="L39" s="6" t="inlineStr"/>
      <c r="M39" s="6" t="inlineStr">
        <is>
          <t>ホットケーキが名物</t>
        </is>
      </c>
    </row>
    <row r="40">
      <c r="A40" s="5" t="n">
        <v>39</v>
      </c>
      <c r="B40" s="6" t="inlineStr">
        <is>
          <t>みやいりそば</t>
        </is>
      </c>
      <c r="C40" s="6" t="inlineStr">
        <is>
          <t>飲食店</t>
        </is>
      </c>
      <c r="D40" s="6" t="inlineStr">
        <is>
          <t>鹿沼市</t>
        </is>
      </c>
      <c r="E40" s="6" t="inlineStr">
        <is>
          <t>深程1386-1</t>
        </is>
      </c>
      <c r="F40" s="7" t="inlineStr"/>
      <c r="G40" s="6" t="inlineStr">
        <is>
          <t>月曜日</t>
        </is>
      </c>
      <c r="H40" s="6" t="inlineStr">
        <is>
          <t>不明</t>
        </is>
      </c>
      <c r="I40" s="6" t="inlineStr">
        <is>
          <t>グルメサイト掲載店</t>
        </is>
      </c>
      <c r="J40" s="6" t="inlineStr"/>
      <c r="K40" s="6" t="inlineStr">
        <is>
          <t>未架電</t>
        </is>
      </c>
      <c r="L40" s="6" t="inlineStr"/>
      <c r="M40" s="6" t="inlineStr">
        <is>
          <t>鹿沼名物ニラそば、定休日: 月曜（要再確認）</t>
        </is>
      </c>
    </row>
    <row r="41">
      <c r="A41" s="5" t="n">
        <v>40</v>
      </c>
      <c r="B41" s="6" t="inlineStr">
        <is>
          <t>そば花</t>
        </is>
      </c>
      <c r="C41" s="6" t="inlineStr">
        <is>
          <t>飲食店</t>
        </is>
      </c>
      <c r="D41" s="6" t="inlineStr">
        <is>
          <t>鹿沼市</t>
        </is>
      </c>
      <c r="E41" s="6" t="inlineStr"/>
      <c r="F41" s="7" t="inlineStr"/>
      <c r="G41" s="7" t="inlineStr">
        <is>
          <t>不明</t>
        </is>
      </c>
      <c r="H41" s="6" t="inlineStr">
        <is>
          <t>不明</t>
        </is>
      </c>
      <c r="I41" s="6" t="inlineStr">
        <is>
          <t>グルメサイト掲載店</t>
        </is>
      </c>
      <c r="J41" s="6" t="inlineStr"/>
      <c r="K41" s="6" t="inlineStr">
        <is>
          <t>未架電</t>
        </is>
      </c>
      <c r="L41" s="6" t="inlineStr"/>
      <c r="M41" s="6" t="inlineStr">
        <is>
          <t>行列のできる人気そば店</t>
        </is>
      </c>
    </row>
    <row r="42">
      <c r="A42" s="5" t="n">
        <v>41</v>
      </c>
      <c r="B42" s="6" t="inlineStr">
        <is>
          <t>くだものやカフェ 通りの茶屋 藤屋</t>
        </is>
      </c>
      <c r="C42" s="6" t="inlineStr">
        <is>
          <t>カフェ</t>
        </is>
      </c>
      <c r="D42" s="6" t="inlineStr">
        <is>
          <t>那須塩原市</t>
        </is>
      </c>
      <c r="E42" s="6" t="inlineStr">
        <is>
          <t>塩原温泉</t>
        </is>
      </c>
      <c r="F42" s="7" t="inlineStr"/>
      <c r="G42" s="7" t="inlineStr">
        <is>
          <t>不明</t>
        </is>
      </c>
      <c r="H42" s="6" t="inlineStr">
        <is>
          <t>不明</t>
        </is>
      </c>
      <c r="I42" s="6" t="inlineStr">
        <is>
          <t>グルメサイト掲載店</t>
        </is>
      </c>
      <c r="J42" s="6" t="inlineStr"/>
      <c r="K42" s="6" t="inlineStr">
        <is>
          <t>未架電</t>
        </is>
      </c>
      <c r="L42" s="6" t="inlineStr"/>
      <c r="M42" s="6" t="inlineStr">
        <is>
          <t>大正元年創業、元青果店のカフェ</t>
        </is>
      </c>
    </row>
    <row r="43">
      <c r="A43" s="5" t="n">
        <v>42</v>
      </c>
      <c r="B43" s="6" t="inlineStr">
        <is>
          <t>栄太楼</t>
        </is>
      </c>
      <c r="C43" s="6" t="inlineStr">
        <is>
          <t>和菓子店</t>
        </is>
      </c>
      <c r="D43" s="6" t="inlineStr">
        <is>
          <t>那須塩原市</t>
        </is>
      </c>
      <c r="E43" s="6" t="inlineStr">
        <is>
          <t>塩原温泉</t>
        </is>
      </c>
      <c r="F43" s="7" t="inlineStr"/>
      <c r="G43" s="7" t="inlineStr">
        <is>
          <t>不明</t>
        </is>
      </c>
      <c r="H43" s="6" t="inlineStr">
        <is>
          <t>不明</t>
        </is>
      </c>
      <c r="I43" s="6" t="inlineStr">
        <is>
          <t>グルメサイト掲載店</t>
        </is>
      </c>
      <c r="J43" s="6" t="inlineStr"/>
      <c r="K43" s="6" t="inlineStr">
        <is>
          <t>未架電</t>
        </is>
      </c>
      <c r="L43" s="6" t="inlineStr"/>
      <c r="M43" s="6" t="inlineStr">
        <is>
          <t>昭和初期創業の老舗和菓子屋、2階カフェで「とて焼き」</t>
        </is>
      </c>
    </row>
    <row r="44">
      <c r="A44" s="5" t="n">
        <v>43</v>
      </c>
      <c r="B44" s="6" t="inlineStr">
        <is>
          <t>SUZUの森cafe</t>
        </is>
      </c>
      <c r="C44" s="6" t="inlineStr">
        <is>
          <t>カフェ</t>
        </is>
      </c>
      <c r="D44" s="6" t="inlineStr">
        <is>
          <t>那須塩原市</t>
        </is>
      </c>
      <c r="E44" s="6" t="inlineStr">
        <is>
          <t>塩原温泉近く</t>
        </is>
      </c>
      <c r="F44" s="7" t="inlineStr"/>
      <c r="G44" s="7" t="inlineStr">
        <is>
          <t>不明</t>
        </is>
      </c>
      <c r="H44" s="6" t="inlineStr">
        <is>
          <t>不明</t>
        </is>
      </c>
      <c r="I44" s="6" t="inlineStr">
        <is>
          <t>グルメサイト掲載店</t>
        </is>
      </c>
      <c r="J44" s="6" t="inlineStr"/>
      <c r="K44" s="6" t="inlineStr">
        <is>
          <t>未架電</t>
        </is>
      </c>
      <c r="L44" s="6" t="inlineStr"/>
      <c r="M44" s="6" t="inlineStr">
        <is>
          <t>箒川を一望するテラス席</t>
        </is>
      </c>
    </row>
    <row r="45">
      <c r="A45" s="5" t="n">
        <v>44</v>
      </c>
      <c r="B45" s="6" t="inlineStr">
        <is>
          <t>チーズガーデン 塩原珈琲</t>
        </is>
      </c>
      <c r="C45" s="6" t="inlineStr">
        <is>
          <t>カフェ</t>
        </is>
      </c>
      <c r="D45" s="6" t="inlineStr">
        <is>
          <t>那須塩原市</t>
        </is>
      </c>
      <c r="E45" s="6" t="inlineStr">
        <is>
          <t>塩原温泉郷入口</t>
        </is>
      </c>
      <c r="F45" s="7" t="inlineStr"/>
      <c r="G45" s="7" t="inlineStr">
        <is>
          <t>不明</t>
        </is>
      </c>
      <c r="H45" s="6" t="inlineStr">
        <is>
          <t>不明</t>
        </is>
      </c>
      <c r="I45" s="6" t="inlineStr">
        <is>
          <t>公式サイト</t>
        </is>
      </c>
      <c r="J45" s="6" t="inlineStr"/>
      <c r="K45" s="6" t="inlineStr">
        <is>
          <t>未架電</t>
        </is>
      </c>
      <c r="L45" s="6" t="inlineStr"/>
      <c r="M45" s="6" t="inlineStr">
        <is>
          <t>チーズ菓子専門店併設カフェ</t>
        </is>
      </c>
    </row>
    <row r="46">
      <c r="A46" s="5" t="n">
        <v>45</v>
      </c>
      <c r="B46" s="6" t="inlineStr">
        <is>
          <t>カフェ いちごや</t>
        </is>
      </c>
      <c r="C46" s="6" t="inlineStr">
        <is>
          <t>カフェ</t>
        </is>
      </c>
      <c r="D46" s="6" t="inlineStr">
        <is>
          <t>真岡市</t>
        </is>
      </c>
      <c r="E46" s="6" t="inlineStr">
        <is>
          <t>高田1019-1</t>
        </is>
      </c>
      <c r="F46" s="7" t="inlineStr"/>
      <c r="G46" s="7" t="inlineStr">
        <is>
          <t>不明</t>
        </is>
      </c>
      <c r="H46" s="6" t="inlineStr">
        <is>
          <t>不明</t>
        </is>
      </c>
      <c r="I46" s="6" t="inlineStr">
        <is>
          <t>地域情報サイト掲載店</t>
        </is>
      </c>
      <c r="J46" s="6" t="inlineStr"/>
      <c r="K46" s="6" t="inlineStr">
        <is>
          <t>未架電</t>
        </is>
      </c>
      <c r="L46" s="6" t="inlineStr"/>
      <c r="M46" s="6" t="inlineStr">
        <is>
          <t>いちご農家が営むカフェ</t>
        </is>
      </c>
    </row>
    <row r="47">
      <c r="A47" s="5" t="n">
        <v>46</v>
      </c>
      <c r="B47" s="6" t="inlineStr">
        <is>
          <t>御菓子司 紅谷三宅</t>
        </is>
      </c>
      <c r="C47" s="6" t="inlineStr">
        <is>
          <t>和菓子店</t>
        </is>
      </c>
      <c r="D47" s="6" t="inlineStr">
        <is>
          <t>真岡市</t>
        </is>
      </c>
      <c r="E47" s="6" t="inlineStr"/>
      <c r="F47" s="7" t="inlineStr"/>
      <c r="G47" s="7" t="inlineStr">
        <is>
          <t>不明</t>
        </is>
      </c>
      <c r="H47" s="6" t="inlineStr">
        <is>
          <t>不明</t>
        </is>
      </c>
      <c r="I47" s="6" t="inlineStr">
        <is>
          <t>地域情報サイト掲載店</t>
        </is>
      </c>
      <c r="J47" s="6" t="inlineStr"/>
      <c r="K47" s="6" t="inlineStr">
        <is>
          <t>未架電</t>
        </is>
      </c>
      <c r="L47" s="6" t="inlineStr"/>
      <c r="M47" s="6" t="inlineStr">
        <is>
          <t>いちご大福が名物</t>
        </is>
      </c>
    </row>
    <row r="48">
      <c r="A48" s="5" t="n">
        <v>47</v>
      </c>
      <c r="B48" s="6" t="inlineStr">
        <is>
          <t>山吉商店</t>
        </is>
      </c>
      <c r="C48" s="6" t="inlineStr">
        <is>
          <t>カフェ</t>
        </is>
      </c>
      <c r="D48" s="6" t="inlineStr">
        <is>
          <t>大田原市</t>
        </is>
      </c>
      <c r="E48" s="6" t="inlineStr"/>
      <c r="F48" s="7" t="inlineStr"/>
      <c r="G48" s="7" t="inlineStr">
        <is>
          <t>不明</t>
        </is>
      </c>
      <c r="H48" s="6" t="inlineStr">
        <is>
          <t>不明</t>
        </is>
      </c>
      <c r="I48" s="6" t="inlineStr">
        <is>
          <t>グルメサイト掲載店</t>
        </is>
      </c>
      <c r="J48" s="6" t="inlineStr"/>
      <c r="K48" s="6" t="inlineStr">
        <is>
          <t>未架電</t>
        </is>
      </c>
      <c r="L48" s="6" t="inlineStr"/>
      <c r="M48" s="6" t="inlineStr">
        <is>
          <t>珈琲ショップ</t>
        </is>
      </c>
    </row>
    <row r="49">
      <c r="A49" s="5" t="n">
        <v>48</v>
      </c>
      <c r="B49" s="6" t="inlineStr">
        <is>
          <t>喫茶ハナモリ大田原店</t>
        </is>
      </c>
      <c r="C49" s="6" t="inlineStr">
        <is>
          <t>カフェ</t>
        </is>
      </c>
      <c r="D49" s="6" t="inlineStr">
        <is>
          <t>大田原市</t>
        </is>
      </c>
      <c r="E49" s="6" t="inlineStr"/>
      <c r="F49" s="7" t="inlineStr"/>
      <c r="G49" s="7" t="inlineStr">
        <is>
          <t>不明</t>
        </is>
      </c>
      <c r="H49" s="6" t="inlineStr">
        <is>
          <t>不明</t>
        </is>
      </c>
      <c r="I49" s="6" t="inlineStr">
        <is>
          <t>公式サイト</t>
        </is>
      </c>
      <c r="J49" s="6" t="inlineStr"/>
      <c r="K49" s="6" t="inlineStr">
        <is>
          <t>未架電</t>
        </is>
      </c>
      <c r="L49" s="6" t="inlineStr"/>
      <c r="M49" s="6" t="inlineStr">
        <is>
          <t>2025年6月オープン、ナポリタン・手作りプリン</t>
        </is>
      </c>
    </row>
    <row r="50">
      <c r="A50" s="5" t="n">
        <v>49</v>
      </c>
      <c r="B50" s="6" t="inlineStr">
        <is>
          <t>Cafe：甘茶</t>
        </is>
      </c>
      <c r="C50" s="6" t="inlineStr">
        <is>
          <t>カフェ</t>
        </is>
      </c>
      <c r="D50" s="6" t="inlineStr">
        <is>
          <t>壬生町</t>
        </is>
      </c>
      <c r="E50" s="6" t="inlineStr"/>
      <c r="F50" s="7" t="inlineStr"/>
      <c r="G50" s="7" t="inlineStr">
        <is>
          <t>不明</t>
        </is>
      </c>
      <c r="H50" s="6" t="inlineStr">
        <is>
          <t>不明</t>
        </is>
      </c>
      <c r="I50" s="6" t="inlineStr">
        <is>
          <t>地域ブログ掲載店</t>
        </is>
      </c>
      <c r="J50" s="6" t="inlineStr"/>
      <c r="K50" s="6" t="inlineStr">
        <is>
          <t>未架電</t>
        </is>
      </c>
      <c r="L50" s="6" t="inlineStr"/>
      <c r="M50" s="6" t="inlineStr">
        <is>
          <t>抹茶メニュー中心</t>
        </is>
      </c>
    </row>
    <row r="51">
      <c r="A51" s="5" t="n">
        <v>50</v>
      </c>
      <c r="B51" s="6" t="inlineStr">
        <is>
          <t>魚良（うおりょう）</t>
        </is>
      </c>
      <c r="C51" s="6" t="inlineStr">
        <is>
          <t>飲食店</t>
        </is>
      </c>
      <c r="D51" s="6" t="inlineStr">
        <is>
          <t>那珂川町</t>
        </is>
      </c>
      <c r="E51" s="6" t="inlineStr"/>
      <c r="F51" s="7" t="inlineStr"/>
      <c r="G51" s="7" t="inlineStr">
        <is>
          <t>不明</t>
        </is>
      </c>
      <c r="H51" s="6" t="inlineStr">
        <is>
          <t>不明</t>
        </is>
      </c>
      <c r="I51" s="6" t="inlineStr">
        <is>
          <t>公式サイト</t>
        </is>
      </c>
      <c r="J51" s="6" t="inlineStr"/>
      <c r="K51" s="6" t="inlineStr">
        <is>
          <t>未架電</t>
        </is>
      </c>
      <c r="L51" s="6" t="inlineStr"/>
      <c r="M51" s="6" t="inlineStr">
        <is>
          <t>天然鮎の炭火焼き</t>
        </is>
      </c>
    </row>
    <row r="52">
      <c r="A52" s="5" t="n">
        <v>51</v>
      </c>
      <c r="B52" s="6" t="inlineStr">
        <is>
          <t>黒羽観光やな</t>
        </is>
      </c>
      <c r="C52" s="6" t="inlineStr">
        <is>
          <t>飲食店</t>
        </is>
      </c>
      <c r="D52" s="6" t="inlineStr">
        <is>
          <t>那珂川町</t>
        </is>
      </c>
      <c r="E52" s="6" t="inlineStr"/>
      <c r="F52" s="7" t="inlineStr"/>
      <c r="G52" s="7" t="inlineStr">
        <is>
          <t>不明</t>
        </is>
      </c>
      <c r="H52" s="6" t="inlineStr">
        <is>
          <t>不明</t>
        </is>
      </c>
      <c r="I52" s="6" t="inlineStr">
        <is>
          <t>公式サイト</t>
        </is>
      </c>
      <c r="J52" s="6" t="inlineStr"/>
      <c r="K52" s="6" t="inlineStr">
        <is>
          <t>未架電</t>
        </is>
      </c>
      <c r="L52" s="6" t="inlineStr"/>
      <c r="M52" s="6" t="inlineStr">
        <is>
          <t>鮎塩焼き・鮎釜めし・鮎刺身</t>
        </is>
      </c>
    </row>
    <row r="53">
      <c r="A53" s="5" t="n">
        <v>52</v>
      </c>
      <c r="B53" s="6" t="inlineStr">
        <is>
          <t>菓子工房 SHIMADAYA</t>
        </is>
      </c>
      <c r="C53" s="6" t="inlineStr">
        <is>
          <t>和菓子店</t>
        </is>
      </c>
      <c r="D53" s="6" t="inlineStr">
        <is>
          <t>那須烏山市</t>
        </is>
      </c>
      <c r="E53" s="6" t="inlineStr"/>
      <c r="F53" s="7" t="inlineStr"/>
      <c r="G53" s="7" t="inlineStr">
        <is>
          <t>不明</t>
        </is>
      </c>
      <c r="H53" s="6" t="inlineStr">
        <is>
          <t>不明</t>
        </is>
      </c>
      <c r="I53" s="6" t="inlineStr">
        <is>
          <t>地域情報サイト掲載店</t>
        </is>
      </c>
      <c r="J53" s="6" t="inlineStr"/>
      <c r="K53" s="6" t="inlineStr">
        <is>
          <t>未架電</t>
        </is>
      </c>
      <c r="L53" s="6" t="inlineStr"/>
      <c r="M53" s="6" t="inlineStr">
        <is>
          <t>4代続く老舗、烏山銘菓しらつゆ</t>
        </is>
      </c>
    </row>
    <row r="54">
      <c r="A54" s="5" t="n">
        <v>53</v>
      </c>
      <c r="B54" s="6" t="inlineStr">
        <is>
          <t>あん姫</t>
        </is>
      </c>
      <c r="C54" s="6" t="inlineStr">
        <is>
          <t>カフェ</t>
        </is>
      </c>
      <c r="D54" s="6" t="inlineStr">
        <is>
          <t>矢板市</t>
        </is>
      </c>
      <c r="E54" s="6" t="inlineStr">
        <is>
          <t>国道461号沿い・南平公園前</t>
        </is>
      </c>
      <c r="F54" s="7" t="inlineStr"/>
      <c r="G54" s="7" t="inlineStr">
        <is>
          <t>不明</t>
        </is>
      </c>
      <c r="H54" s="6" t="inlineStr">
        <is>
          <t>不明</t>
        </is>
      </c>
      <c r="I54" s="6" t="inlineStr">
        <is>
          <t>地域情報サイト掲載店</t>
        </is>
      </c>
      <c r="J54" s="6" t="inlineStr"/>
      <c r="K54" s="6" t="inlineStr">
        <is>
          <t>未架電</t>
        </is>
      </c>
      <c r="L54" s="6" t="inlineStr"/>
      <c r="M54" s="6" t="inlineStr"/>
    </row>
    <row r="55">
      <c r="A55" s="5" t="n">
        <v>54</v>
      </c>
      <c r="B55" s="6" t="inlineStr">
        <is>
          <t>道の駅もてぎ もてぎプラザ</t>
        </is>
      </c>
      <c r="C55" s="6" t="inlineStr">
        <is>
          <t>カフェ</t>
        </is>
      </c>
      <c r="D55" s="6" t="inlineStr">
        <is>
          <t>茂木町</t>
        </is>
      </c>
      <c r="E55" s="6" t="inlineStr">
        <is>
          <t>道の駅もてぎ</t>
        </is>
      </c>
      <c r="F55" s="7" t="inlineStr"/>
      <c r="G55" s="7" t="inlineStr">
        <is>
          <t>不明</t>
        </is>
      </c>
      <c r="H55" s="6" t="inlineStr">
        <is>
          <t>不明</t>
        </is>
      </c>
      <c r="I55" s="6" t="inlineStr">
        <is>
          <t>公式サイト</t>
        </is>
      </c>
      <c r="J55" s="6" t="inlineStr"/>
      <c r="K55" s="6" t="inlineStr">
        <is>
          <t>未架電</t>
        </is>
      </c>
      <c r="L55" s="6" t="inlineStr"/>
      <c r="M55" s="6" t="inlineStr">
        <is>
          <t>カフェ・スイーツ</t>
        </is>
      </c>
    </row>
    <row r="56">
      <c r="A56" s="5" t="n">
        <v>55</v>
      </c>
      <c r="B56" s="6" t="inlineStr">
        <is>
          <t>茂木満天家</t>
        </is>
      </c>
      <c r="C56" s="6" t="inlineStr">
        <is>
          <t>カフェ</t>
        </is>
      </c>
      <c r="D56" s="6" t="inlineStr">
        <is>
          <t>茂木町</t>
        </is>
      </c>
      <c r="E56" s="6" t="inlineStr"/>
      <c r="F56" s="7" t="inlineStr"/>
      <c r="G56" s="7" t="inlineStr">
        <is>
          <t>不明</t>
        </is>
      </c>
      <c r="H56" s="6" t="inlineStr">
        <is>
          <t>不明</t>
        </is>
      </c>
      <c r="I56" s="6" t="inlineStr">
        <is>
          <t>地域情報サイト掲載店</t>
        </is>
      </c>
      <c r="J56" s="6" t="inlineStr"/>
      <c r="K56" s="6" t="inlineStr">
        <is>
          <t>未架電</t>
        </is>
      </c>
      <c r="L56" s="6" t="inlineStr"/>
      <c r="M56" s="6" t="inlineStr">
        <is>
          <t>天然かき氷が名物</t>
        </is>
      </c>
    </row>
    <row r="57">
      <c r="A57" s="5" t="n">
        <v>56</v>
      </c>
      <c r="B57" s="6" t="inlineStr">
        <is>
          <t>COFFEE HOUSE PARCEL</t>
        </is>
      </c>
      <c r="C57" s="6" t="inlineStr">
        <is>
          <t>カフェ</t>
        </is>
      </c>
      <c r="D57" s="6" t="inlineStr">
        <is>
          <t>下野市</t>
        </is>
      </c>
      <c r="E57" s="6" t="inlineStr"/>
      <c r="F57" s="7" t="inlineStr"/>
      <c r="G57" s="7" t="inlineStr">
        <is>
          <t>不明</t>
        </is>
      </c>
      <c r="H57" s="6" t="inlineStr">
        <is>
          <t>不明</t>
        </is>
      </c>
      <c r="I57" s="6" t="inlineStr">
        <is>
          <t>地域情報サイト掲載店</t>
        </is>
      </c>
      <c r="J57" s="6" t="inlineStr"/>
      <c r="K57" s="6" t="inlineStr">
        <is>
          <t>未架電</t>
        </is>
      </c>
      <c r="L57" s="6" t="inlineStr"/>
      <c r="M57" s="6" t="inlineStr">
        <is>
          <t>創業40周年以上の老舗喫茶店</t>
        </is>
      </c>
    </row>
    <row r="58">
      <c r="A58" s="5" t="n">
        <v>57</v>
      </c>
      <c r="B58" s="6" t="inlineStr">
        <is>
          <t>カフェギャラリー土筆</t>
        </is>
      </c>
      <c r="C58" s="6" t="inlineStr">
        <is>
          <t>カフェ</t>
        </is>
      </c>
      <c r="D58" s="6" t="inlineStr">
        <is>
          <t>下野市</t>
        </is>
      </c>
      <c r="E58" s="6" t="inlineStr"/>
      <c r="F58" s="7" t="inlineStr"/>
      <c r="G58" s="7" t="inlineStr">
        <is>
          <t>不明</t>
        </is>
      </c>
      <c r="H58" s="6" t="inlineStr">
        <is>
          <t>不明</t>
        </is>
      </c>
      <c r="I58" s="6" t="inlineStr">
        <is>
          <t>地域情報サイト掲載店</t>
        </is>
      </c>
      <c r="J58" s="6" t="inlineStr"/>
      <c r="K58" s="6" t="inlineStr">
        <is>
          <t>未架電</t>
        </is>
      </c>
      <c r="L58" s="6" t="inlineStr"/>
      <c r="M58" s="6" t="inlineStr">
        <is>
          <t>古民家風、書・陶器展示併設</t>
        </is>
      </c>
    </row>
    <row r="59">
      <c r="A59" s="5" t="n">
        <v>58</v>
      </c>
      <c r="B59" s="6" t="inlineStr">
        <is>
          <t>ごはんカフェ 坂の途中</t>
        </is>
      </c>
      <c r="C59" s="6" t="inlineStr">
        <is>
          <t>カフェ</t>
        </is>
      </c>
      <c r="D59" s="6" t="inlineStr">
        <is>
          <t>下野市</t>
        </is>
      </c>
      <c r="E59" s="6" t="inlineStr"/>
      <c r="F59" s="7" t="inlineStr"/>
      <c r="G59" s="7" t="inlineStr">
        <is>
          <t>不明</t>
        </is>
      </c>
      <c r="H59" s="6" t="inlineStr">
        <is>
          <t>不明</t>
        </is>
      </c>
      <c r="I59" s="6" t="inlineStr">
        <is>
          <t>地域情報サイト掲載店</t>
        </is>
      </c>
      <c r="J59" s="6" t="inlineStr"/>
      <c r="K59" s="6" t="inlineStr">
        <is>
          <t>未架電</t>
        </is>
      </c>
      <c r="L59" s="6" t="inlineStr"/>
      <c r="M59" s="6" t="inlineStr">
        <is>
          <t>地元野菜を使った料理、2023年3月オープン</t>
        </is>
      </c>
    </row>
    <row r="60">
      <c r="A60" s="5" t="n">
        <v>59</v>
      </c>
      <c r="B60" s="6" t="inlineStr">
        <is>
          <t>喫茶みるく</t>
        </is>
      </c>
      <c r="C60" s="6" t="inlineStr">
        <is>
          <t>カフェ</t>
        </is>
      </c>
      <c r="D60" s="6" t="inlineStr">
        <is>
          <t>下野市</t>
        </is>
      </c>
      <c r="E60" s="6" t="inlineStr">
        <is>
          <t>大光寺2丁目</t>
        </is>
      </c>
      <c r="F60" s="7" t="inlineStr"/>
      <c r="G60" s="7" t="inlineStr">
        <is>
          <t>不明</t>
        </is>
      </c>
      <c r="H60" s="6" t="inlineStr">
        <is>
          <t>不明</t>
        </is>
      </c>
      <c r="I60" s="6" t="inlineStr">
        <is>
          <t>地域情報サイト掲載店</t>
        </is>
      </c>
      <c r="J60" s="6" t="inlineStr"/>
      <c r="K60" s="6" t="inlineStr">
        <is>
          <t>未架電</t>
        </is>
      </c>
      <c r="L60" s="6" t="inlineStr"/>
      <c r="M60" s="6" t="inlineStr"/>
    </row>
    <row r="61">
      <c r="A61" s="5" t="n">
        <v>60</v>
      </c>
      <c r="B61" s="6" t="inlineStr">
        <is>
          <t>こびとカフェ</t>
        </is>
      </c>
      <c r="C61" s="6" t="inlineStr">
        <is>
          <t>カフェ</t>
        </is>
      </c>
      <c r="D61" s="6" t="inlineStr">
        <is>
          <t>野木町</t>
        </is>
      </c>
      <c r="E61" s="6" t="inlineStr">
        <is>
          <t>野木町煉瓦窯 隣接</t>
        </is>
      </c>
      <c r="F61" s="7" t="inlineStr"/>
      <c r="G61" s="7" t="inlineStr">
        <is>
          <t>不明</t>
        </is>
      </c>
      <c r="H61" s="6" t="inlineStr">
        <is>
          <t>不明</t>
        </is>
      </c>
      <c r="I61" s="6" t="inlineStr">
        <is>
          <t>地域情報サイト掲載店</t>
        </is>
      </c>
      <c r="J61" s="6" t="inlineStr"/>
      <c r="K61" s="6" t="inlineStr">
        <is>
          <t>未架電</t>
        </is>
      </c>
      <c r="L61" s="6" t="inlineStr"/>
      <c r="M61" s="6" t="inlineStr"/>
    </row>
    <row r="62">
      <c r="A62" s="5" t="n">
        <v>61</v>
      </c>
      <c r="B62" s="6" t="inlineStr">
        <is>
          <t>中西珈琲</t>
        </is>
      </c>
      <c r="C62" s="6" t="inlineStr">
        <is>
          <t>カフェ</t>
        </is>
      </c>
      <c r="D62" s="6" t="inlineStr">
        <is>
          <t>野木町</t>
        </is>
      </c>
      <c r="E62" s="6" t="inlineStr"/>
      <c r="F62" s="7" t="inlineStr"/>
      <c r="G62" s="7" t="inlineStr">
        <is>
          <t>不明</t>
        </is>
      </c>
      <c r="H62" s="6" t="inlineStr">
        <is>
          <t>不明</t>
        </is>
      </c>
      <c r="I62" s="6" t="inlineStr">
        <is>
          <t>地域情報サイト掲載店</t>
        </is>
      </c>
      <c r="J62" s="6" t="inlineStr"/>
      <c r="K62" s="6" t="inlineStr">
        <is>
          <t>未架電</t>
        </is>
      </c>
      <c r="L62" s="6" t="inlineStr"/>
      <c r="M62" s="6" t="inlineStr">
        <is>
          <t>自家焙煎珈琲店、2018年2月開業</t>
        </is>
      </c>
    </row>
    <row r="63">
      <c r="A63" s="5" t="n">
        <v>62</v>
      </c>
      <c r="B63" s="6" t="inlineStr">
        <is>
          <t>fu.+（パン工房fu×焼菓子Toko toko）</t>
        </is>
      </c>
      <c r="C63" s="6" t="inlineStr">
        <is>
          <t>カフェ</t>
        </is>
      </c>
      <c r="D63" s="6" t="inlineStr">
        <is>
          <t>高根沢町</t>
        </is>
      </c>
      <c r="E63" s="6" t="inlineStr">
        <is>
          <t>宝石台4-14-5</t>
        </is>
      </c>
      <c r="F63" s="7" t="inlineStr"/>
      <c r="G63" s="7" t="inlineStr">
        <is>
          <t>不明</t>
        </is>
      </c>
      <c r="H63" s="6" t="inlineStr">
        <is>
          <t>不明</t>
        </is>
      </c>
      <c r="I63" s="6" t="inlineStr">
        <is>
          <t>地域情報サイト掲載店</t>
        </is>
      </c>
      <c r="J63" s="6" t="inlineStr"/>
      <c r="K63" s="6" t="inlineStr">
        <is>
          <t>未架電</t>
        </is>
      </c>
      <c r="L63" s="6" t="inlineStr"/>
      <c r="M63" s="6" t="inlineStr">
        <is>
          <t>天然酵母パン・焼き菓子のログハウスカフェ</t>
        </is>
      </c>
    </row>
    <row r="64">
      <c r="A64" s="5" t="n">
        <v>63</v>
      </c>
      <c r="B64" s="6" t="inlineStr">
        <is>
          <t>hisui coffee</t>
        </is>
      </c>
      <c r="C64" s="6" t="inlineStr">
        <is>
          <t>カフェ</t>
        </is>
      </c>
      <c r="D64" s="6" t="inlineStr">
        <is>
          <t>高根沢町</t>
        </is>
      </c>
      <c r="E64" s="6" t="inlineStr"/>
      <c r="F64" s="7" t="inlineStr"/>
      <c r="G64" s="7" t="inlineStr">
        <is>
          <t>不明</t>
        </is>
      </c>
      <c r="H64" s="6" t="inlineStr">
        <is>
          <t>不明</t>
        </is>
      </c>
      <c r="I64" s="6" t="inlineStr">
        <is>
          <t>地域情報サイト掲載店</t>
        </is>
      </c>
      <c r="J64" s="6" t="inlineStr"/>
      <c r="K64" s="6" t="inlineStr">
        <is>
          <t>未架電</t>
        </is>
      </c>
      <c r="L64" s="6" t="inlineStr"/>
      <c r="M64" s="6" t="inlineStr"/>
    </row>
    <row r="65">
      <c r="A65" s="5" t="n">
        <v>64</v>
      </c>
      <c r="B65" s="6" t="inlineStr">
        <is>
          <t>さかさみせ</t>
        </is>
      </c>
      <c r="C65" s="6" t="inlineStr">
        <is>
          <t>カフェ</t>
        </is>
      </c>
      <c r="D65" s="6" t="inlineStr">
        <is>
          <t>高根沢町</t>
        </is>
      </c>
      <c r="E65" s="6" t="inlineStr">
        <is>
          <t>石末2805-9</t>
        </is>
      </c>
      <c r="F65" s="7" t="inlineStr"/>
      <c r="G65" s="7" t="inlineStr">
        <is>
          <t>不明</t>
        </is>
      </c>
      <c r="H65" s="6" t="inlineStr">
        <is>
          <t>不明</t>
        </is>
      </c>
      <c r="I65" s="6" t="inlineStr">
        <is>
          <t>地域情報サイト掲載店</t>
        </is>
      </c>
      <c r="J65" s="6" t="inlineStr"/>
      <c r="K65" s="6" t="inlineStr">
        <is>
          <t>未架電</t>
        </is>
      </c>
      <c r="L65" s="6" t="inlineStr"/>
      <c r="M65" s="6" t="inlineStr"/>
    </row>
    <row r="66">
      <c r="A66" s="5" t="n">
        <v>65</v>
      </c>
      <c r="B66" s="6" t="inlineStr">
        <is>
          <t>花の丘</t>
        </is>
      </c>
      <c r="C66" s="6" t="inlineStr">
        <is>
          <t>カフェ</t>
        </is>
      </c>
      <c r="D66" s="6" t="inlineStr">
        <is>
          <t>高根沢町</t>
        </is>
      </c>
      <c r="E66" s="6" t="inlineStr">
        <is>
          <t>花岡1503-3</t>
        </is>
      </c>
      <c r="F66" s="7" t="inlineStr"/>
      <c r="G66" s="7" t="inlineStr">
        <is>
          <t>不明</t>
        </is>
      </c>
      <c r="H66" s="6" t="inlineStr">
        <is>
          <t>不明</t>
        </is>
      </c>
      <c r="I66" s="6" t="inlineStr">
        <is>
          <t>地域情報サイト掲載店</t>
        </is>
      </c>
      <c r="J66" s="6" t="inlineStr"/>
      <c r="K66" s="6" t="inlineStr">
        <is>
          <t>未架電</t>
        </is>
      </c>
      <c r="L66" s="6" t="inlineStr"/>
      <c r="M66" s="6" t="inlineStr"/>
    </row>
    <row r="67">
      <c r="A67" s="5" t="n">
        <v>66</v>
      </c>
      <c r="B67" s="6" t="inlineStr">
        <is>
          <t>cafe mikumari</t>
        </is>
      </c>
      <c r="C67" s="6" t="inlineStr">
        <is>
          <t>カフェ</t>
        </is>
      </c>
      <c r="D67" s="6" t="inlineStr">
        <is>
          <t>芳賀町</t>
        </is>
      </c>
      <c r="E67" s="6" t="inlineStr">
        <is>
          <t>東水沼1032-12</t>
        </is>
      </c>
      <c r="F67" s="7" t="inlineStr"/>
      <c r="G67" s="7" t="inlineStr">
        <is>
          <t>不明</t>
        </is>
      </c>
      <c r="H67" s="6" t="inlineStr">
        <is>
          <t>不明</t>
        </is>
      </c>
      <c r="I67" s="6" t="inlineStr">
        <is>
          <t>地域情報サイト掲載店</t>
        </is>
      </c>
      <c r="J67" s="6" t="inlineStr"/>
      <c r="K67" s="6" t="inlineStr">
        <is>
          <t>未架電</t>
        </is>
      </c>
      <c r="L67" s="6" t="inlineStr"/>
      <c r="M67" s="6" t="inlineStr"/>
    </row>
    <row r="68">
      <c r="A68" s="5" t="n">
        <v>67</v>
      </c>
      <c r="B68" s="6" t="inlineStr">
        <is>
          <t>まがりな</t>
        </is>
      </c>
      <c r="C68" s="6" t="inlineStr">
        <is>
          <t>カフェ</t>
        </is>
      </c>
      <c r="D68" s="6" t="inlineStr">
        <is>
          <t>塩谷町</t>
        </is>
      </c>
      <c r="E68" s="6" t="inlineStr">
        <is>
          <t>道の駅湧水の郷しおや 飲食館内</t>
        </is>
      </c>
      <c r="F68" s="7" t="inlineStr"/>
      <c r="G68" s="7" t="inlineStr">
        <is>
          <t>不明</t>
        </is>
      </c>
      <c r="H68" s="6" t="inlineStr">
        <is>
          <t>不明</t>
        </is>
      </c>
      <c r="I68" s="6" t="inlineStr">
        <is>
          <t>地域情報サイト掲載店</t>
        </is>
      </c>
      <c r="J68" s="6" t="inlineStr"/>
      <c r="K68" s="6" t="inlineStr">
        <is>
          <t>未架電</t>
        </is>
      </c>
      <c r="L68" s="6" t="inlineStr"/>
      <c r="M68" s="6" t="inlineStr">
        <is>
          <t>農村カフェ、オリジナルメニュー</t>
        </is>
      </c>
    </row>
    <row r="69">
      <c r="A69" s="5" t="n">
        <v>68</v>
      </c>
      <c r="B69" s="6" t="inlineStr">
        <is>
          <t>福田屋</t>
        </is>
      </c>
      <c r="C69" s="6" t="inlineStr">
        <is>
          <t>陶器店・ギャラリー</t>
        </is>
      </c>
      <c r="D69" s="6" t="inlineStr">
        <is>
          <t>益子町</t>
        </is>
      </c>
      <c r="E69" s="6" t="inlineStr">
        <is>
          <t>城内坂エリア</t>
        </is>
      </c>
      <c r="F69" s="7" t="inlineStr"/>
      <c r="G69" s="7" t="inlineStr">
        <is>
          <t>不明</t>
        </is>
      </c>
      <c r="H69" s="6" t="inlineStr">
        <is>
          <t>不明</t>
        </is>
      </c>
      <c r="I69" s="6" t="inlineStr">
        <is>
          <t>観光メディア掲載店</t>
        </is>
      </c>
      <c r="J69" s="6" t="inlineStr"/>
      <c r="K69" s="6" t="inlineStr">
        <is>
          <t>未架電</t>
        </is>
      </c>
      <c r="L69" s="6" t="inlineStr"/>
      <c r="M69" s="6" t="inlineStr"/>
    </row>
    <row r="70">
      <c r="A70" s="5" t="n">
        <v>69</v>
      </c>
      <c r="B70" s="6" t="inlineStr">
        <is>
          <t>陶知庵（蒼い器の店）</t>
        </is>
      </c>
      <c r="C70" s="6" t="inlineStr">
        <is>
          <t>陶器店・ギャラリー</t>
        </is>
      </c>
      <c r="D70" s="6" t="inlineStr">
        <is>
          <t>益子町</t>
        </is>
      </c>
      <c r="E70" s="6" t="inlineStr">
        <is>
          <t>城内坂エリア</t>
        </is>
      </c>
      <c r="F70" s="7" t="inlineStr"/>
      <c r="G70" s="7" t="inlineStr">
        <is>
          <t>不明</t>
        </is>
      </c>
      <c r="H70" s="6" t="inlineStr">
        <is>
          <t>不明</t>
        </is>
      </c>
      <c r="I70" s="6" t="inlineStr">
        <is>
          <t>観光メディア掲載店</t>
        </is>
      </c>
      <c r="J70" s="6" t="inlineStr"/>
      <c r="K70" s="6" t="inlineStr">
        <is>
          <t>未架電</t>
        </is>
      </c>
      <c r="L70" s="6" t="inlineStr"/>
      <c r="M70" s="6" t="inlineStr"/>
    </row>
    <row r="71">
      <c r="A71" s="5" t="n">
        <v>70</v>
      </c>
      <c r="B71" s="6" t="inlineStr">
        <is>
          <t>見目陶苑</t>
        </is>
      </c>
      <c r="C71" s="6" t="inlineStr">
        <is>
          <t>陶器店・ギャラリー</t>
        </is>
      </c>
      <c r="D71" s="6" t="inlineStr">
        <is>
          <t>益子町</t>
        </is>
      </c>
      <c r="E71" s="6" t="inlineStr"/>
      <c r="F71" s="7" t="inlineStr"/>
      <c r="G71" s="7" t="inlineStr">
        <is>
          <t>不明</t>
        </is>
      </c>
      <c r="H71" s="6" t="inlineStr">
        <is>
          <t>不明</t>
        </is>
      </c>
      <c r="I71" s="6" t="inlineStr">
        <is>
          <t>観光メディア掲載店</t>
        </is>
      </c>
      <c r="J71" s="6" t="inlineStr"/>
      <c r="K71" s="6" t="inlineStr">
        <is>
          <t>未架電</t>
        </is>
      </c>
      <c r="L71" s="6" t="inlineStr"/>
      <c r="M71" s="6" t="inlineStr"/>
    </row>
    <row r="72">
      <c r="A72" s="5" t="n">
        <v>71</v>
      </c>
      <c r="B72" s="6" t="inlineStr">
        <is>
          <t>象嵌てん</t>
        </is>
      </c>
      <c r="C72" s="6" t="inlineStr">
        <is>
          <t>陶器店・ギャラリー</t>
        </is>
      </c>
      <c r="D72" s="6" t="inlineStr">
        <is>
          <t>益子町</t>
        </is>
      </c>
      <c r="E72" s="6" t="inlineStr"/>
      <c r="F72" s="7" t="inlineStr"/>
      <c r="G72" s="7" t="inlineStr">
        <is>
          <t>不明</t>
        </is>
      </c>
      <c r="H72" s="6" t="inlineStr">
        <is>
          <t>不明</t>
        </is>
      </c>
      <c r="I72" s="6" t="inlineStr">
        <is>
          <t>観光メディア掲載店</t>
        </is>
      </c>
      <c r="J72" s="6" t="inlineStr"/>
      <c r="K72" s="6" t="inlineStr">
        <is>
          <t>未架電</t>
        </is>
      </c>
      <c r="L72" s="6" t="inlineStr"/>
      <c r="M72" s="6" t="inlineStr"/>
    </row>
    <row r="73">
      <c r="A73" s="5" t="n">
        <v>72</v>
      </c>
      <c r="B73" s="6" t="inlineStr">
        <is>
          <t>趣味の器 陶楽</t>
        </is>
      </c>
      <c r="C73" s="6" t="inlineStr">
        <is>
          <t>陶器店・ギャラリー</t>
        </is>
      </c>
      <c r="D73" s="6" t="inlineStr">
        <is>
          <t>益子町</t>
        </is>
      </c>
      <c r="E73" s="6" t="inlineStr"/>
      <c r="F73" s="7" t="inlineStr"/>
      <c r="G73" s="7" t="inlineStr">
        <is>
          <t>不明</t>
        </is>
      </c>
      <c r="H73" s="6" t="inlineStr">
        <is>
          <t>不明</t>
        </is>
      </c>
      <c r="I73" s="6" t="inlineStr">
        <is>
          <t>観光メディア掲載店</t>
        </is>
      </c>
      <c r="J73" s="6" t="inlineStr"/>
      <c r="K73" s="6" t="inlineStr">
        <is>
          <t>未架電</t>
        </is>
      </c>
      <c r="L73" s="6" t="inlineStr"/>
      <c r="M73" s="6" t="inlineStr"/>
    </row>
    <row r="74">
      <c r="A74" s="5" t="n">
        <v>73</v>
      </c>
      <c r="B74" s="6" t="inlineStr">
        <is>
          <t>長豊陶苑</t>
        </is>
      </c>
      <c r="C74" s="6" t="inlineStr">
        <is>
          <t>陶器店・ギャラリー</t>
        </is>
      </c>
      <c r="D74" s="6" t="inlineStr">
        <is>
          <t>益子町</t>
        </is>
      </c>
      <c r="E74" s="6" t="inlineStr"/>
      <c r="F74" s="7" t="inlineStr"/>
      <c r="G74" s="7" t="inlineStr">
        <is>
          <t>不明</t>
        </is>
      </c>
      <c r="H74" s="6" t="inlineStr">
        <is>
          <t>不明</t>
        </is>
      </c>
      <c r="I74" s="6" t="inlineStr">
        <is>
          <t>観光メディア掲載店</t>
        </is>
      </c>
      <c r="J74" s="6" t="inlineStr"/>
      <c r="K74" s="6" t="inlineStr">
        <is>
          <t>未架電</t>
        </is>
      </c>
      <c r="L74" s="6" t="inlineStr"/>
      <c r="M74" s="6" t="inlineStr"/>
    </row>
    <row r="75">
      <c r="A75" s="5" t="n">
        <v>74</v>
      </c>
      <c r="B75" s="6" t="inlineStr">
        <is>
          <t>陶・ギャラリー田</t>
        </is>
      </c>
      <c r="C75" s="6" t="inlineStr">
        <is>
          <t>陶器店・ギャラリー</t>
        </is>
      </c>
      <c r="D75" s="6" t="inlineStr">
        <is>
          <t>益子町</t>
        </is>
      </c>
      <c r="E75" s="6" t="inlineStr"/>
      <c r="F75" s="7" t="inlineStr"/>
      <c r="G75" s="7" t="inlineStr">
        <is>
          <t>不明</t>
        </is>
      </c>
      <c r="H75" s="6" t="inlineStr">
        <is>
          <t>不明</t>
        </is>
      </c>
      <c r="I75" s="6" t="inlineStr">
        <is>
          <t>観光メディア掲載店</t>
        </is>
      </c>
      <c r="J75" s="6" t="inlineStr"/>
      <c r="K75" s="6" t="inlineStr">
        <is>
          <t>未架電</t>
        </is>
      </c>
      <c r="L75" s="6" t="inlineStr"/>
      <c r="M75" s="6" t="inlineStr"/>
    </row>
    <row r="76">
      <c r="A76" s="5" t="n">
        <v>75</v>
      </c>
      <c r="B76" s="6" t="inlineStr">
        <is>
          <t>陶房なかむら</t>
        </is>
      </c>
      <c r="C76" s="6" t="inlineStr">
        <is>
          <t>陶器店・ギャラリー</t>
        </is>
      </c>
      <c r="D76" s="6" t="inlineStr">
        <is>
          <t>益子町</t>
        </is>
      </c>
      <c r="E76" s="6" t="inlineStr"/>
      <c r="F76" s="7" t="inlineStr"/>
      <c r="G76" s="7" t="inlineStr">
        <is>
          <t>不明</t>
        </is>
      </c>
      <c r="H76" s="6" t="inlineStr">
        <is>
          <t>不明</t>
        </is>
      </c>
      <c r="I76" s="6" t="inlineStr">
        <is>
          <t>観光メディア掲載店</t>
        </is>
      </c>
      <c r="J76" s="6" t="inlineStr"/>
      <c r="K76" s="6" t="inlineStr">
        <is>
          <t>未架電</t>
        </is>
      </c>
      <c r="L76" s="6" t="inlineStr"/>
      <c r="M76" s="6" t="inlineStr"/>
    </row>
    <row r="77">
      <c r="A77" s="5" t="n">
        <v>76</v>
      </c>
      <c r="B77" s="6" t="inlineStr">
        <is>
          <t>陶房はせがわ</t>
        </is>
      </c>
      <c r="C77" s="6" t="inlineStr">
        <is>
          <t>陶器店・ギャラリー</t>
        </is>
      </c>
      <c r="D77" s="6" t="inlineStr">
        <is>
          <t>益子町</t>
        </is>
      </c>
      <c r="E77" s="6" t="inlineStr"/>
      <c r="F77" s="7" t="inlineStr"/>
      <c r="G77" s="7" t="inlineStr">
        <is>
          <t>不明</t>
        </is>
      </c>
      <c r="H77" s="6" t="inlineStr">
        <is>
          <t>不明</t>
        </is>
      </c>
      <c r="I77" s="6" t="inlineStr">
        <is>
          <t>観光メディア掲載店</t>
        </is>
      </c>
      <c r="J77" s="6" t="inlineStr"/>
      <c r="K77" s="6" t="inlineStr">
        <is>
          <t>未架電</t>
        </is>
      </c>
      <c r="L77" s="6" t="inlineStr"/>
      <c r="M77" s="6" t="inlineStr"/>
    </row>
    <row r="78">
      <c r="A78" s="5" t="n">
        <v>77</v>
      </c>
      <c r="B78" s="6" t="inlineStr">
        <is>
          <t>陶房日向</t>
        </is>
      </c>
      <c r="C78" s="6" t="inlineStr">
        <is>
          <t>陶器店・ギャラリー</t>
        </is>
      </c>
      <c r="D78" s="6" t="inlineStr">
        <is>
          <t>益子町</t>
        </is>
      </c>
      <c r="E78" s="6" t="inlineStr"/>
      <c r="F78" s="7" t="inlineStr"/>
      <c r="G78" s="7" t="inlineStr">
        <is>
          <t>不明</t>
        </is>
      </c>
      <c r="H78" s="6" t="inlineStr">
        <is>
          <t>不明</t>
        </is>
      </c>
      <c r="I78" s="6" t="inlineStr">
        <is>
          <t>観光メディア掲載店</t>
        </is>
      </c>
      <c r="J78" s="6" t="inlineStr"/>
      <c r="K78" s="6" t="inlineStr">
        <is>
          <t>未架電</t>
        </is>
      </c>
      <c r="L78" s="6" t="inlineStr"/>
      <c r="M78" s="6" t="inlineStr"/>
    </row>
    <row r="79">
      <c r="A79" s="5" t="n">
        <v>78</v>
      </c>
      <c r="B79" s="6" t="inlineStr">
        <is>
          <t>もえぎ 城内坂店</t>
        </is>
      </c>
      <c r="C79" s="6" t="inlineStr">
        <is>
          <t>陶器店・ギャラリー</t>
        </is>
      </c>
      <c r="D79" s="6" t="inlineStr">
        <is>
          <t>益子町</t>
        </is>
      </c>
      <c r="E79" s="6" t="inlineStr">
        <is>
          <t>城内坂通り</t>
        </is>
      </c>
      <c r="F79" s="7" t="inlineStr"/>
      <c r="G79" s="7" t="inlineStr">
        <is>
          <t>不明</t>
        </is>
      </c>
      <c r="H79" s="6" t="inlineStr">
        <is>
          <t>不明</t>
        </is>
      </c>
      <c r="I79" s="6" t="inlineStr">
        <is>
          <t>観光メディア掲載店</t>
        </is>
      </c>
      <c r="J79" s="6" t="inlineStr"/>
      <c r="K79" s="6" t="inlineStr">
        <is>
          <t>未架電</t>
        </is>
      </c>
      <c r="L79" s="6" t="inlineStr"/>
      <c r="M79" s="6" t="inlineStr">
        <is>
          <t>約150名の作家作品を扱う、カフェ・レストラン併設</t>
        </is>
      </c>
    </row>
    <row r="80">
      <c r="A80" s="5" t="n">
        <v>79</v>
      </c>
      <c r="B80" s="6" t="inlineStr">
        <is>
          <t>陶庫（とうこ）</t>
        </is>
      </c>
      <c r="C80" s="6" t="inlineStr">
        <is>
          <t>陶器店・ギャラリー</t>
        </is>
      </c>
      <c r="D80" s="6" t="inlineStr">
        <is>
          <t>益子町</t>
        </is>
      </c>
      <c r="E80" s="6" t="inlineStr">
        <is>
          <t>城内坂2</t>
        </is>
      </c>
      <c r="F80" s="7" t="inlineStr"/>
      <c r="G80" s="7" t="inlineStr">
        <is>
          <t>不明</t>
        </is>
      </c>
      <c r="H80" s="6" t="inlineStr">
        <is>
          <t>不明</t>
        </is>
      </c>
      <c r="I80" s="6" t="inlineStr">
        <is>
          <t>公式サイト</t>
        </is>
      </c>
      <c r="J80" s="6" t="inlineStr"/>
      <c r="K80" s="6" t="inlineStr">
        <is>
          <t>未架電</t>
        </is>
      </c>
      <c r="L80" s="6" t="inlineStr"/>
      <c r="M80" s="6" t="inlineStr">
        <is>
          <t>約2週間ごとに展覧会、1000回以上開催のギャラリー</t>
        </is>
      </c>
    </row>
    <row r="81">
      <c r="A81" s="5" t="n">
        <v>80</v>
      </c>
      <c r="B81" s="6" t="inlineStr">
        <is>
          <t>ギャラリー陶のね広場</t>
        </is>
      </c>
      <c r="C81" s="6" t="inlineStr">
        <is>
          <t>陶器店・ギャラリー</t>
        </is>
      </c>
      <c r="D81" s="6" t="inlineStr">
        <is>
          <t>益子町</t>
        </is>
      </c>
      <c r="E81" s="6" t="inlineStr"/>
      <c r="F81" s="7" t="inlineStr"/>
      <c r="G81" s="7" t="inlineStr">
        <is>
          <t>不明</t>
        </is>
      </c>
      <c r="H81" s="6" t="inlineStr">
        <is>
          <t>不明</t>
        </is>
      </c>
      <c r="I81" s="6" t="inlineStr">
        <is>
          <t>益子陶器市 出店者情報</t>
        </is>
      </c>
      <c r="J81" s="6" t="inlineStr"/>
      <c r="K81" s="6" t="inlineStr">
        <is>
          <t>未架電</t>
        </is>
      </c>
      <c r="L81" s="6" t="inlineStr"/>
      <c r="M81" s="6" t="inlineStr"/>
    </row>
    <row r="82">
      <c r="A82" s="5" t="n">
        <v>81</v>
      </c>
      <c r="B82" s="6" t="inlineStr">
        <is>
          <t>ギャラリー陶 塑瑠土</t>
        </is>
      </c>
      <c r="C82" s="6" t="inlineStr">
        <is>
          <t>陶器店・ギャラリー</t>
        </is>
      </c>
      <c r="D82" s="6" t="inlineStr">
        <is>
          <t>益子町</t>
        </is>
      </c>
      <c r="E82" s="6" t="inlineStr"/>
      <c r="F82" s="7" t="inlineStr"/>
      <c r="G82" s="7" t="inlineStr">
        <is>
          <t>不明</t>
        </is>
      </c>
      <c r="H82" s="6" t="inlineStr">
        <is>
          <t>不明</t>
        </is>
      </c>
      <c r="I82" s="6" t="inlineStr">
        <is>
          <t>益子陶器市 出店者情報</t>
        </is>
      </c>
      <c r="J82" s="6" t="inlineStr"/>
      <c r="K82" s="6" t="inlineStr">
        <is>
          <t>未架電</t>
        </is>
      </c>
      <c r="L82" s="6" t="inlineStr"/>
      <c r="M82" s="6" t="inlineStr"/>
    </row>
    <row r="83">
      <c r="A83" s="5" t="n">
        <v>82</v>
      </c>
      <c r="B83" s="6" t="inlineStr">
        <is>
          <t>茶房 風花</t>
        </is>
      </c>
      <c r="C83" s="6" t="inlineStr">
        <is>
          <t>カフェ</t>
        </is>
      </c>
      <c r="D83" s="6" t="inlineStr">
        <is>
          <t>さくら市</t>
        </is>
      </c>
      <c r="E83" s="6" t="inlineStr">
        <is>
          <t>喜連川</t>
        </is>
      </c>
      <c r="F83" s="7" t="inlineStr"/>
      <c r="G83" s="7" t="inlineStr">
        <is>
          <t>不明</t>
        </is>
      </c>
      <c r="H83" s="6" t="inlineStr">
        <is>
          <t>不明</t>
        </is>
      </c>
      <c r="I83" s="6" t="inlineStr">
        <is>
          <t>地域情報サイト掲載店</t>
        </is>
      </c>
      <c r="J83" s="6" t="inlineStr"/>
      <c r="K83" s="6" t="inlineStr">
        <is>
          <t>未架電</t>
        </is>
      </c>
      <c r="L83" s="6" t="inlineStr"/>
      <c r="M83" s="6" t="inlineStr"/>
    </row>
    <row r="84">
      <c r="A84" s="5" t="n">
        <v>83</v>
      </c>
      <c r="B84" s="6" t="inlineStr">
        <is>
          <t>わ</t>
        </is>
      </c>
      <c r="C84" s="6" t="inlineStr">
        <is>
          <t>カフェ</t>
        </is>
      </c>
      <c r="D84" s="6" t="inlineStr">
        <is>
          <t>さくら市</t>
        </is>
      </c>
      <c r="E84" s="6" t="inlineStr">
        <is>
          <t>氏家駅近く</t>
        </is>
      </c>
      <c r="F84" s="7" t="inlineStr"/>
      <c r="G84" s="7" t="inlineStr">
        <is>
          <t>不明</t>
        </is>
      </c>
      <c r="H84" s="6" t="inlineStr">
        <is>
          <t>不明</t>
        </is>
      </c>
      <c r="I84" s="6" t="inlineStr">
        <is>
          <t>地域情報サイト掲載店</t>
        </is>
      </c>
      <c r="J84" s="6" t="inlineStr"/>
      <c r="K84" s="6" t="inlineStr">
        <is>
          <t>未架電</t>
        </is>
      </c>
      <c r="L84" s="6" t="inlineStr"/>
      <c r="M84" s="6" t="inlineStr">
        <is>
          <t>カフェレストラン</t>
        </is>
      </c>
    </row>
    <row r="85">
      <c r="A85" s="5" t="n">
        <v>84</v>
      </c>
      <c r="B85" s="6" t="inlineStr">
        <is>
          <t>京月</t>
        </is>
      </c>
      <c r="C85" s="6" t="inlineStr">
        <is>
          <t>和菓子店</t>
        </is>
      </c>
      <c r="D85" s="6" t="inlineStr">
        <is>
          <t>さくら市</t>
        </is>
      </c>
      <c r="E85" s="6" t="inlineStr"/>
      <c r="F85" s="7" t="inlineStr"/>
      <c r="G85" s="7" t="inlineStr">
        <is>
          <t>不明</t>
        </is>
      </c>
      <c r="H85" s="6" t="inlineStr">
        <is>
          <t>不明</t>
        </is>
      </c>
      <c r="I85" s="6" t="inlineStr">
        <is>
          <t>地域情報サイト掲載店</t>
        </is>
      </c>
      <c r="J85" s="6" t="inlineStr"/>
      <c r="K85" s="6" t="inlineStr">
        <is>
          <t>未架電</t>
        </is>
      </c>
      <c r="L85" s="6" t="inlineStr"/>
      <c r="M85" s="6" t="inlineStr">
        <is>
          <t>いちご大福が名物の老舗和菓子店</t>
        </is>
      </c>
    </row>
    <row r="86">
      <c r="A86" s="5" t="n">
        <v>85</v>
      </c>
      <c r="B86" s="6" t="inlineStr">
        <is>
          <t>Butch Cafe（ブッチカフェ）</t>
        </is>
      </c>
      <c r="C86" s="6" t="inlineStr">
        <is>
          <t>カフェ</t>
        </is>
      </c>
      <c r="D86" s="6" t="inlineStr">
        <is>
          <t>上三川町</t>
        </is>
      </c>
      <c r="E86" s="6" t="inlineStr">
        <is>
          <t>上三川4999-7</t>
        </is>
      </c>
      <c r="F86" s="7" t="inlineStr"/>
      <c r="G86" s="7" t="inlineStr">
        <is>
          <t>不明</t>
        </is>
      </c>
      <c r="H86" s="6" t="inlineStr">
        <is>
          <t>不明</t>
        </is>
      </c>
      <c r="I86" s="6" t="inlineStr">
        <is>
          <t>地域情報サイト掲載店</t>
        </is>
      </c>
      <c r="J86" s="6" t="inlineStr"/>
      <c r="K86" s="6" t="inlineStr">
        <is>
          <t>未架電</t>
        </is>
      </c>
      <c r="L86" s="6" t="inlineStr"/>
      <c r="M86" s="6" t="inlineStr"/>
    </row>
    <row r="87">
      <c r="A87" s="5" t="n">
        <v>86</v>
      </c>
      <c r="B87" s="6" t="inlineStr">
        <is>
          <t>気まぐれSweets</t>
        </is>
      </c>
      <c r="C87" s="6" t="inlineStr">
        <is>
          <t>カフェ</t>
        </is>
      </c>
      <c r="D87" s="6" t="inlineStr">
        <is>
          <t>上三川町</t>
        </is>
      </c>
      <c r="E87" s="6" t="inlineStr"/>
      <c r="F87" s="7" t="inlineStr"/>
      <c r="G87" s="7" t="inlineStr">
        <is>
          <t>不明</t>
        </is>
      </c>
      <c r="H87" s="6" t="inlineStr">
        <is>
          <t>不明</t>
        </is>
      </c>
      <c r="I87" s="6" t="inlineStr">
        <is>
          <t>地域情報サイト掲載店</t>
        </is>
      </c>
      <c r="J87" s="6" t="inlineStr"/>
      <c r="K87" s="6" t="inlineStr">
        <is>
          <t>未架電</t>
        </is>
      </c>
      <c r="L87" s="6" t="inlineStr"/>
      <c r="M87" s="6" t="inlineStr">
        <is>
          <t>店名表記は推定のため要確認、パンケーキが名物</t>
        </is>
      </c>
    </row>
    <row r="88">
      <c r="A88" s="5" t="n">
        <v>87</v>
      </c>
      <c r="B88" s="6" t="inlineStr">
        <is>
          <t>カフェ三四八</t>
        </is>
      </c>
      <c r="C88" s="6" t="inlineStr">
        <is>
          <t>カフェ</t>
        </is>
      </c>
      <c r="D88" s="6" t="inlineStr">
        <is>
          <t>市貝町</t>
        </is>
      </c>
      <c r="E88" s="6" t="inlineStr">
        <is>
          <t>市塙1270・道の駅サシバの里いちかい内</t>
        </is>
      </c>
      <c r="F88" s="7" t="inlineStr"/>
      <c r="G88" s="6" t="inlineStr">
        <is>
          <t>木曜日</t>
        </is>
      </c>
      <c r="H88" s="6" t="inlineStr">
        <is>
          <t>不明</t>
        </is>
      </c>
      <c r="I88" s="6" t="inlineStr">
        <is>
          <t>公式サイト</t>
        </is>
      </c>
      <c r="J88" s="6" t="inlineStr"/>
      <c r="K88" s="6" t="inlineStr">
        <is>
          <t>未架電</t>
        </is>
      </c>
      <c r="L88" s="6" t="inlineStr"/>
      <c r="M88" s="6" t="inlineStr">
        <is>
          <t>オリジナルブレンドコーヒー、定休日: 木曜（要再確認）</t>
        </is>
      </c>
    </row>
    <row r="89">
      <c r="A89" s="5" t="n">
        <v>88</v>
      </c>
      <c r="B89" s="6" t="inlineStr">
        <is>
          <t>ベリーベリー</t>
        </is>
      </c>
      <c r="C89" s="6" t="inlineStr">
        <is>
          <t>カフェ</t>
        </is>
      </c>
      <c r="D89" s="6" t="inlineStr">
        <is>
          <t>市貝町</t>
        </is>
      </c>
      <c r="E89" s="6" t="inlineStr">
        <is>
          <t>赤羽</t>
        </is>
      </c>
      <c r="F89" s="7" t="inlineStr"/>
      <c r="G89" s="7" t="inlineStr">
        <is>
          <t>不明</t>
        </is>
      </c>
      <c r="H89" s="6" t="inlineStr">
        <is>
          <t>不明</t>
        </is>
      </c>
      <c r="I89" s="6" t="inlineStr">
        <is>
          <t>地域情報サイト掲載店</t>
        </is>
      </c>
      <c r="J89" s="6" t="inlineStr"/>
      <c r="K89" s="6" t="inlineStr">
        <is>
          <t>未架電</t>
        </is>
      </c>
      <c r="L89" s="6" t="inlineStr"/>
      <c r="M89" s="6" t="inlineStr">
        <is>
          <t>ジェラート専門</t>
        </is>
      </c>
    </row>
    <row r="90">
      <c r="A90" s="5" t="n">
        <v>89</v>
      </c>
      <c r="B90" s="6" t="inlineStr">
        <is>
          <t>かざぐるま</t>
        </is>
      </c>
      <c r="C90" s="6" t="inlineStr">
        <is>
          <t>カフェ</t>
        </is>
      </c>
      <c r="D90" s="6" t="inlineStr">
        <is>
          <t>市貝町</t>
        </is>
      </c>
      <c r="E90" s="6" t="inlineStr">
        <is>
          <t>赤羽</t>
        </is>
      </c>
      <c r="F90" s="7" t="inlineStr"/>
      <c r="G90" s="7" t="inlineStr">
        <is>
          <t>不明</t>
        </is>
      </c>
      <c r="H90" s="6" t="inlineStr">
        <is>
          <t>不明</t>
        </is>
      </c>
      <c r="I90" s="6" t="inlineStr">
        <is>
          <t>地域情報サイト掲載店</t>
        </is>
      </c>
      <c r="J90" s="6" t="inlineStr"/>
      <c r="K90" s="6" t="inlineStr">
        <is>
          <t>未架電</t>
        </is>
      </c>
      <c r="L90" s="6" t="inlineStr"/>
      <c r="M90" s="6" t="inlineStr"/>
    </row>
    <row r="91">
      <c r="A91" s="5" t="n">
        <v>90</v>
      </c>
      <c r="B91" s="6" t="inlineStr">
        <is>
          <t>ポスト・ド・ブレ</t>
        </is>
      </c>
      <c r="C91" s="6" t="inlineStr">
        <is>
          <t>パン屋</t>
        </is>
      </c>
      <c r="D91" s="6" t="inlineStr">
        <is>
          <t>宇都宮市</t>
        </is>
      </c>
      <c r="E91" s="6" t="inlineStr"/>
      <c r="F91" s="7" t="inlineStr"/>
      <c r="G91" s="7" t="inlineStr">
        <is>
          <t>不明</t>
        </is>
      </c>
      <c r="H91" s="6" t="inlineStr">
        <is>
          <t>不明</t>
        </is>
      </c>
      <c r="I91" s="6" t="inlineStr">
        <is>
          <t>グルメサイト掲載店</t>
        </is>
      </c>
      <c r="J91" s="6" t="inlineStr"/>
      <c r="K91" s="6" t="inlineStr">
        <is>
          <t>未架電</t>
        </is>
      </c>
      <c r="L91" s="6" t="inlineStr"/>
      <c r="M91" s="6" t="inlineStr">
        <is>
          <t>築90年の大谷石蔵をリノベーション</t>
        </is>
      </c>
    </row>
    <row r="92">
      <c r="A92" s="5" t="n">
        <v>91</v>
      </c>
      <c r="B92" s="6" t="inlineStr">
        <is>
          <t>とろろとぱん</t>
        </is>
      </c>
      <c r="C92" s="6" t="inlineStr">
        <is>
          <t>パン屋</t>
        </is>
      </c>
      <c r="D92" s="6" t="inlineStr">
        <is>
          <t>宇都宮市</t>
        </is>
      </c>
      <c r="E92" s="6" t="inlineStr"/>
      <c r="F92" s="7" t="inlineStr"/>
      <c r="G92" s="7" t="inlineStr">
        <is>
          <t>不明</t>
        </is>
      </c>
      <c r="H92" s="6" t="inlineStr">
        <is>
          <t>不明</t>
        </is>
      </c>
      <c r="I92" s="6" t="inlineStr">
        <is>
          <t>公式サイト</t>
        </is>
      </c>
      <c r="J92" s="6" t="inlineStr"/>
      <c r="K92" s="6" t="inlineStr">
        <is>
          <t>未架電</t>
        </is>
      </c>
      <c r="L92" s="6" t="inlineStr"/>
      <c r="M92" s="6" t="inlineStr">
        <is>
          <t>古民家改装、駄菓子屋コンセプト</t>
        </is>
      </c>
    </row>
    <row r="93">
      <c r="A93" s="5" t="n">
        <v>92</v>
      </c>
      <c r="B93" s="6" t="inlineStr">
        <is>
          <t>石窯パン工房 Pan De Park</t>
        </is>
      </c>
      <c r="C93" s="6" t="inlineStr">
        <is>
          <t>パン屋</t>
        </is>
      </c>
      <c r="D93" s="6" t="inlineStr">
        <is>
          <t>宇都宮市</t>
        </is>
      </c>
      <c r="E93" s="6" t="inlineStr"/>
      <c r="F93" s="7" t="inlineStr"/>
      <c r="G93" s="7" t="inlineStr">
        <is>
          <t>不明</t>
        </is>
      </c>
      <c r="H93" s="6" t="inlineStr">
        <is>
          <t>不明</t>
        </is>
      </c>
      <c r="I93" s="6" t="inlineStr">
        <is>
          <t>グルメサイト掲載店</t>
        </is>
      </c>
      <c r="J93" s="6" t="inlineStr"/>
      <c r="K93" s="6" t="inlineStr">
        <is>
          <t>未架電</t>
        </is>
      </c>
      <c r="L93" s="6" t="inlineStr"/>
      <c r="M93" s="6" t="inlineStr"/>
    </row>
    <row r="94">
      <c r="A94" s="5" t="n">
        <v>93</v>
      </c>
      <c r="B94" s="6" t="inlineStr">
        <is>
          <t>ブーランジュリ・マルシェ</t>
        </is>
      </c>
      <c r="C94" s="6" t="inlineStr">
        <is>
          <t>パン屋</t>
        </is>
      </c>
      <c r="D94" s="6" t="inlineStr">
        <is>
          <t>宇都宮市</t>
        </is>
      </c>
      <c r="E94" s="6" t="inlineStr"/>
      <c r="F94" s="7" t="inlineStr"/>
      <c r="G94" s="7" t="inlineStr">
        <is>
          <t>不明</t>
        </is>
      </c>
      <c r="H94" s="6" t="inlineStr">
        <is>
          <t>不明</t>
        </is>
      </c>
      <c r="I94" s="6" t="inlineStr">
        <is>
          <t>グルメサイト掲載店</t>
        </is>
      </c>
      <c r="J94" s="6" t="inlineStr"/>
      <c r="K94" s="6" t="inlineStr">
        <is>
          <t>未架電</t>
        </is>
      </c>
      <c r="L94" s="6" t="inlineStr"/>
      <c r="M94" s="6" t="inlineStr">
        <is>
          <t>本格フランス風パン屋</t>
        </is>
      </c>
    </row>
    <row r="95">
      <c r="A95" s="5" t="n">
        <v>94</v>
      </c>
      <c r="B95" s="6" t="inlineStr">
        <is>
          <t>ペンション森のうーたん</t>
        </is>
      </c>
      <c r="C95" s="6" t="inlineStr">
        <is>
          <t>飲食店</t>
        </is>
      </c>
      <c r="D95" s="6" t="inlineStr">
        <is>
          <t>那須町</t>
        </is>
      </c>
      <c r="E95" s="6" t="inlineStr">
        <is>
          <t>那須高原</t>
        </is>
      </c>
      <c r="F95" s="7" t="inlineStr"/>
      <c r="G95" s="7" t="inlineStr">
        <is>
          <t>不明</t>
        </is>
      </c>
      <c r="H95" s="6" t="inlineStr">
        <is>
          <t>不明</t>
        </is>
      </c>
      <c r="I95" s="6" t="inlineStr">
        <is>
          <t>観光メディア掲載店</t>
        </is>
      </c>
      <c r="J95" s="6" t="inlineStr"/>
      <c r="K95" s="6" t="inlineStr">
        <is>
          <t>未架電</t>
        </is>
      </c>
      <c r="L95" s="6" t="inlineStr"/>
      <c r="M95" s="6" t="inlineStr">
        <is>
          <t>国産牛ヒレステーキ、シーフードグラタン</t>
        </is>
      </c>
    </row>
    <row r="96">
      <c r="A96" s="5" t="n">
        <v>95</v>
      </c>
      <c r="B96" s="6" t="inlineStr">
        <is>
          <t>プチホテル晩餐館</t>
        </is>
      </c>
      <c r="C96" s="6" t="inlineStr">
        <is>
          <t>飲食店</t>
        </is>
      </c>
      <c r="D96" s="6" t="inlineStr">
        <is>
          <t>那須町</t>
        </is>
      </c>
      <c r="E96" s="6" t="inlineStr">
        <is>
          <t>那須高原</t>
        </is>
      </c>
      <c r="F96" s="7" t="inlineStr"/>
      <c r="G96" s="7" t="inlineStr">
        <is>
          <t>不明</t>
        </is>
      </c>
      <c r="H96" s="6" t="inlineStr">
        <is>
          <t>不明</t>
        </is>
      </c>
      <c r="I96" s="6" t="inlineStr">
        <is>
          <t>観光メディア掲載店</t>
        </is>
      </c>
      <c r="J96" s="6" t="inlineStr"/>
      <c r="K96" s="6" t="inlineStr">
        <is>
          <t>未架電</t>
        </is>
      </c>
      <c r="L96" s="6" t="inlineStr"/>
      <c r="M96" s="6" t="inlineStr">
        <is>
          <t>ステンドグラスのダイニング、ヒレステーキのフルコース</t>
        </is>
      </c>
    </row>
    <row r="97">
      <c r="A97" s="5" t="n">
        <v>96</v>
      </c>
      <c r="B97" s="6" t="inlineStr">
        <is>
          <t>那須高原バル</t>
        </is>
      </c>
      <c r="C97" s="6" t="inlineStr">
        <is>
          <t>飲食店</t>
        </is>
      </c>
      <c r="D97" s="6" t="inlineStr">
        <is>
          <t>那須町</t>
        </is>
      </c>
      <c r="E97" s="6" t="inlineStr">
        <is>
          <t>那須高原</t>
        </is>
      </c>
      <c r="F97" s="7" t="inlineStr"/>
      <c r="G97" s="7" t="inlineStr">
        <is>
          <t>不明</t>
        </is>
      </c>
      <c r="H97" s="6" t="inlineStr">
        <is>
          <t>不明</t>
        </is>
      </c>
      <c r="I97" s="6" t="inlineStr">
        <is>
          <t>公式サイト</t>
        </is>
      </c>
      <c r="J97" s="6" t="inlineStr"/>
      <c r="K97" s="6" t="inlineStr">
        <is>
          <t>未架電</t>
        </is>
      </c>
      <c r="L97" s="6" t="inlineStr"/>
      <c r="M97" s="6" t="inlineStr">
        <is>
          <t>那須産野菜・地場産品を使ったレストラン</t>
        </is>
      </c>
    </row>
    <row r="98">
      <c r="A98" s="5" t="n">
        <v>97</v>
      </c>
      <c r="B98" s="6" t="inlineStr">
        <is>
          <t>豊田木工所</t>
        </is>
      </c>
      <c r="C98" s="6" t="inlineStr">
        <is>
          <t>工芸品店</t>
        </is>
      </c>
      <c r="D98" s="6" t="inlineStr">
        <is>
          <t>鹿沼市</t>
        </is>
      </c>
      <c r="E98" s="6" t="inlineStr"/>
      <c r="F98" s="7" t="inlineStr"/>
      <c r="G98" s="7" t="inlineStr">
        <is>
          <t>不明</t>
        </is>
      </c>
      <c r="H98" s="6" t="inlineStr">
        <is>
          <t>不明</t>
        </is>
      </c>
      <c r="I98" s="6" t="inlineStr">
        <is>
          <t>地域メディア掲載店</t>
        </is>
      </c>
      <c r="J98" s="6" t="inlineStr"/>
      <c r="K98" s="6" t="inlineStr">
        <is>
          <t>未架電</t>
        </is>
      </c>
      <c r="L98" s="6" t="inlineStr"/>
      <c r="M98" s="6" t="inlineStr">
        <is>
          <t>鹿沼組子（寄木細工）の木工所、3代目</t>
        </is>
      </c>
    </row>
    <row r="99">
      <c r="A99" s="5" t="n">
        <v>98</v>
      </c>
      <c r="B99" s="6" t="inlineStr">
        <is>
          <t>星野工業株式会社</t>
        </is>
      </c>
      <c r="C99" s="6" t="inlineStr">
        <is>
          <t>工芸品店</t>
        </is>
      </c>
      <c r="D99" s="6" t="inlineStr">
        <is>
          <t>鹿沼市</t>
        </is>
      </c>
      <c r="E99" s="6" t="inlineStr">
        <is>
          <t>玉田町692-8</t>
        </is>
      </c>
      <c r="F99" s="7" t="inlineStr"/>
      <c r="G99" s="6" t="inlineStr">
        <is>
          <t>土・日・祝日</t>
        </is>
      </c>
      <c r="H99" s="6" t="inlineStr">
        <is>
          <t>不明</t>
        </is>
      </c>
      <c r="I99" s="6" t="inlineStr">
        <is>
          <t>公式サイト</t>
        </is>
      </c>
      <c r="J99" s="6" t="inlineStr"/>
      <c r="K99" s="6" t="inlineStr">
        <is>
          <t>未架電</t>
        </is>
      </c>
      <c r="L99" s="6" t="inlineStr"/>
      <c r="M99" s="6" t="inlineStr">
        <is>
          <t>木工・組子、定休日: 土日祝（要再確認）</t>
        </is>
      </c>
    </row>
    <row r="100">
      <c r="A100" s="5" t="n">
        <v>99</v>
      </c>
      <c r="B100" s="6" t="inlineStr">
        <is>
          <t>茶房直</t>
        </is>
      </c>
      <c r="C100" s="6" t="inlineStr">
        <is>
          <t>カフェ</t>
        </is>
      </c>
      <c r="D100" s="6" t="inlineStr">
        <is>
          <t>佐野市</t>
        </is>
      </c>
      <c r="E100" s="6" t="inlineStr"/>
      <c r="F100" s="7" t="inlineStr"/>
      <c r="G100" s="7" t="inlineStr">
        <is>
          <t>不明</t>
        </is>
      </c>
      <c r="H100" s="6" t="inlineStr">
        <is>
          <t>不明</t>
        </is>
      </c>
      <c r="I100" s="6" t="inlineStr">
        <is>
          <t>地域情報サイト掲載店</t>
        </is>
      </c>
      <c r="J100" s="6" t="inlineStr"/>
      <c r="K100" s="6" t="inlineStr">
        <is>
          <t>未架電</t>
        </is>
      </c>
      <c r="L100" s="6" t="inlineStr"/>
      <c r="M100" s="6" t="inlineStr">
        <is>
          <t>古民家風レトロなカフェ</t>
        </is>
      </c>
    </row>
    <row r="101">
      <c r="A101" s="5" t="n">
        <v>100</v>
      </c>
      <c r="B101" s="6" t="inlineStr">
        <is>
          <t>プレジール</t>
        </is>
      </c>
      <c r="C101" s="6" t="inlineStr">
        <is>
          <t>カフェ</t>
        </is>
      </c>
      <c r="D101" s="6" t="inlineStr">
        <is>
          <t>佐野市</t>
        </is>
      </c>
      <c r="E101" s="6" t="inlineStr"/>
      <c r="F101" s="7" t="inlineStr"/>
      <c r="G101" s="7" t="inlineStr">
        <is>
          <t>不明</t>
        </is>
      </c>
      <c r="H101" s="6" t="inlineStr">
        <is>
          <t>不明</t>
        </is>
      </c>
      <c r="I101" s="6" t="inlineStr">
        <is>
          <t>地域情報サイト掲載店</t>
        </is>
      </c>
      <c r="J101" s="6" t="inlineStr"/>
      <c r="K101" s="6" t="inlineStr">
        <is>
          <t>未架電</t>
        </is>
      </c>
      <c r="L101" s="6" t="inlineStr"/>
      <c r="M101" s="6" t="inlineStr">
        <is>
          <t>古民家カフェ</t>
        </is>
      </c>
    </row>
    <row r="102">
      <c r="A102" s="5" t="n">
        <v>101</v>
      </c>
      <c r="B102" s="6" t="inlineStr">
        <is>
          <t>こんほーと</t>
        </is>
      </c>
      <c r="C102" s="6" t="inlineStr">
        <is>
          <t>カフェ</t>
        </is>
      </c>
      <c r="D102" s="6" t="inlineStr">
        <is>
          <t>佐野市</t>
        </is>
      </c>
      <c r="E102" s="6" t="inlineStr"/>
      <c r="F102" s="7" t="inlineStr"/>
      <c r="G102" s="7" t="inlineStr">
        <is>
          <t>不明</t>
        </is>
      </c>
      <c r="H102" s="6" t="inlineStr">
        <is>
          <t>不明</t>
        </is>
      </c>
      <c r="I102" s="6" t="inlineStr">
        <is>
          <t>地域情報サイト掲載店</t>
        </is>
      </c>
      <c r="J102" s="6" t="inlineStr"/>
      <c r="K102" s="6" t="inlineStr">
        <is>
          <t>未架電</t>
        </is>
      </c>
      <c r="L102" s="6" t="inlineStr"/>
      <c r="M102" s="6" t="inlineStr"/>
    </row>
    <row r="103">
      <c r="A103" s="5" t="n">
        <v>102</v>
      </c>
      <c r="B103" s="6" t="inlineStr">
        <is>
          <t>神谷カフェ</t>
        </is>
      </c>
      <c r="C103" s="6" t="inlineStr">
        <is>
          <t>カフェ</t>
        </is>
      </c>
      <c r="D103" s="6" t="inlineStr">
        <is>
          <t>佐野市</t>
        </is>
      </c>
      <c r="E103" s="6" t="inlineStr"/>
      <c r="F103" s="7" t="inlineStr"/>
      <c r="G103" s="7" t="inlineStr">
        <is>
          <t>不明</t>
        </is>
      </c>
      <c r="H103" s="6" t="inlineStr">
        <is>
          <t>不明</t>
        </is>
      </c>
      <c r="I103" s="6" t="inlineStr">
        <is>
          <t>地域情報サイト掲載店</t>
        </is>
      </c>
      <c r="J103" s="6" t="inlineStr"/>
      <c r="K103" s="6" t="inlineStr">
        <is>
          <t>未架電</t>
        </is>
      </c>
      <c r="L103" s="6" t="inlineStr"/>
      <c r="M103" s="6" t="inlineStr"/>
    </row>
    <row r="104">
      <c r="A104" s="5" t="n">
        <v>103</v>
      </c>
      <c r="B104" s="6" t="inlineStr">
        <is>
          <t>本陣カフェ</t>
        </is>
      </c>
      <c r="C104" s="6" t="inlineStr">
        <is>
          <t>カフェ</t>
        </is>
      </c>
      <c r="D104" s="6" t="inlineStr">
        <is>
          <t>日光市</t>
        </is>
      </c>
      <c r="E104" s="6" t="inlineStr">
        <is>
          <t>今市719-1・道の駅日光 日光街道ニコニコ本陣内</t>
        </is>
      </c>
      <c r="F104" s="7" t="inlineStr"/>
      <c r="G104" s="7" t="inlineStr">
        <is>
          <t>不明</t>
        </is>
      </c>
      <c r="H104" s="6" t="inlineStr">
        <is>
          <t>不明</t>
        </is>
      </c>
      <c r="I104" s="6" t="inlineStr">
        <is>
          <t>公式サイト</t>
        </is>
      </c>
      <c r="J104" s="6" t="inlineStr"/>
      <c r="K104" s="6" t="inlineStr">
        <is>
          <t>未架電</t>
        </is>
      </c>
      <c r="L104" s="6" t="inlineStr"/>
      <c r="M104" s="6" t="inlineStr"/>
    </row>
    <row r="105">
      <c r="A105" s="5" t="n">
        <v>104</v>
      </c>
      <c r="B105" s="6" t="inlineStr">
        <is>
          <t>mother tool（マザーツール）</t>
        </is>
      </c>
      <c r="C105" s="6" t="inlineStr">
        <is>
          <t>雑貨店</t>
        </is>
      </c>
      <c r="D105" s="6" t="inlineStr">
        <is>
          <t>足利市</t>
        </is>
      </c>
      <c r="E105" s="6" t="inlineStr">
        <is>
          <t>足利学校通り沿い</t>
        </is>
      </c>
      <c r="F105" s="7" t="inlineStr"/>
      <c r="G105" s="7" t="inlineStr">
        <is>
          <t>不明</t>
        </is>
      </c>
      <c r="H105" s="6" t="inlineStr">
        <is>
          <t>不明</t>
        </is>
      </c>
      <c r="I105" s="6" t="inlineStr">
        <is>
          <t>観光メディア掲載店</t>
        </is>
      </c>
      <c r="J105" s="6" t="inlineStr"/>
      <c r="K105" s="6" t="inlineStr">
        <is>
          <t>未架電</t>
        </is>
      </c>
      <c r="L105" s="6" t="inlineStr"/>
      <c r="M105" s="6" t="inlineStr">
        <is>
          <t>つくり手のものを中心にセレクトした雑貨店</t>
        </is>
      </c>
    </row>
    <row r="106">
      <c r="A106" s="5" t="n">
        <v>105</v>
      </c>
      <c r="B106" s="6" t="inlineStr">
        <is>
          <t>緑和堂</t>
        </is>
      </c>
      <c r="C106" s="6" t="inlineStr">
        <is>
          <t>その他</t>
        </is>
      </c>
      <c r="D106" s="6" t="inlineStr">
        <is>
          <t>足利市</t>
        </is>
      </c>
      <c r="E106" s="6" t="inlineStr"/>
      <c r="F106" s="7" t="inlineStr"/>
      <c r="G106" s="7" t="inlineStr">
        <is>
          <t>不明</t>
        </is>
      </c>
      <c r="H106" s="6" t="inlineStr">
        <is>
          <t>不明</t>
        </is>
      </c>
      <c r="I106" s="6" t="inlineStr">
        <is>
          <t>公式サイト</t>
        </is>
      </c>
      <c r="J106" s="6" t="inlineStr"/>
      <c r="K106" s="6" t="inlineStr">
        <is>
          <t>未架電</t>
        </is>
      </c>
      <c r="L106" s="6" t="inlineStr"/>
      <c r="M106" s="6" t="inlineStr">
        <is>
          <t>骨董品・古美術品の買取店</t>
        </is>
      </c>
    </row>
    <row r="107">
      <c r="A107" s="5" t="n">
        <v>106</v>
      </c>
      <c r="B107" s="8" t="inlineStr"/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</row>
    <row r="108">
      <c r="A108" s="5" t="n">
        <v>107</v>
      </c>
      <c r="B108" s="8" t="inlineStr"/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</row>
    <row r="109">
      <c r="A109" s="5" t="n">
        <v>108</v>
      </c>
      <c r="B109" s="8" t="inlineStr"/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</row>
    <row r="110">
      <c r="A110" s="5" t="n">
        <v>109</v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</row>
    <row r="111">
      <c r="A111" s="5" t="n">
        <v>110</v>
      </c>
      <c r="B111" s="8" t="inlineStr"/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</row>
    <row r="112">
      <c r="A112" s="5" t="n">
        <v>111</v>
      </c>
      <c r="B112" s="8" t="inlineStr"/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</row>
    <row r="113">
      <c r="A113" s="5" t="n">
        <v>112</v>
      </c>
      <c r="B113" s="8" t="inlineStr"/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</row>
    <row r="114">
      <c r="A114" s="5" t="n">
        <v>113</v>
      </c>
      <c r="B114" s="8" t="inlineStr"/>
      <c r="C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</row>
    <row r="115">
      <c r="A115" s="5" t="n">
        <v>114</v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</row>
    <row r="116">
      <c r="A116" s="5" t="n">
        <v>115</v>
      </c>
      <c r="B116" s="8" t="inlineStr"/>
      <c r="C116" s="8" t="inlineStr"/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</row>
    <row r="117">
      <c r="A117" s="5" t="n">
        <v>116</v>
      </c>
      <c r="B117" s="8" t="inlineStr"/>
      <c r="C117" s="8" t="inlineStr"/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</row>
    <row r="118">
      <c r="A118" s="5" t="n">
        <v>117</v>
      </c>
      <c r="B118" s="8" t="inlineStr"/>
      <c r="C118" s="8" t="inlineStr"/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</row>
    <row r="119">
      <c r="A119" s="5" t="n">
        <v>118</v>
      </c>
      <c r="B119" s="8" t="inlineStr"/>
      <c r="C119" s="8" t="inlineStr"/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</row>
    <row r="120">
      <c r="A120" s="5" t="n">
        <v>119</v>
      </c>
      <c r="B120" s="8" t="inlineStr"/>
      <c r="C120" s="8" t="inlineStr"/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</row>
    <row r="121">
      <c r="A121" s="5" t="n">
        <v>120</v>
      </c>
      <c r="B121" s="8" t="inlineStr"/>
      <c r="C121" s="8" t="inlineStr"/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</row>
    <row r="122">
      <c r="A122" s="5" t="n">
        <v>121</v>
      </c>
      <c r="B122" s="8" t="inlineStr"/>
      <c r="C122" s="8" t="inlineStr"/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</row>
    <row r="123">
      <c r="A123" s="5" t="n">
        <v>122</v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</row>
    <row r="124">
      <c r="A124" s="5" t="n">
        <v>123</v>
      </c>
      <c r="B124" s="8" t="inlineStr"/>
      <c r="C124" s="8" t="inlineStr"/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</row>
    <row r="125">
      <c r="A125" s="5" t="n">
        <v>124</v>
      </c>
      <c r="B125" s="8" t="inlineStr"/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</row>
    <row r="126">
      <c r="A126" s="5" t="n">
        <v>125</v>
      </c>
      <c r="B126" s="8" t="inlineStr"/>
      <c r="C126" s="8" t="inlineStr"/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</row>
    <row r="127">
      <c r="A127" s="5" t="n">
        <v>126</v>
      </c>
      <c r="B127" s="8" t="inlineStr"/>
      <c r="C127" s="8" t="inlineStr"/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</row>
    <row r="128">
      <c r="A128" s="5" t="n">
        <v>127</v>
      </c>
      <c r="B128" s="8" t="inlineStr"/>
      <c r="C128" s="8" t="inlineStr"/>
      <c r="D128" s="8" t="inlineStr"/>
      <c r="E128" s="8" t="inlineStr"/>
      <c r="F128" s="8" t="inlineStr"/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</row>
    <row r="129">
      <c r="A129" s="5" t="n">
        <v>128</v>
      </c>
      <c r="B129" s="8" t="inlineStr"/>
      <c r="C129" s="8" t="inlineStr"/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</row>
    <row r="130">
      <c r="A130" s="5" t="n">
        <v>129</v>
      </c>
      <c r="B130" s="8" t="inlineStr"/>
      <c r="C130" s="8" t="inlineStr"/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</row>
    <row r="131">
      <c r="A131" s="5" t="n">
        <v>130</v>
      </c>
      <c r="B131" s="8" t="inlineStr"/>
      <c r="C131" s="8" t="inlineStr"/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</row>
    <row r="132">
      <c r="A132" s="5" t="n">
        <v>131</v>
      </c>
      <c r="B132" s="8" t="inlineStr"/>
      <c r="C132" s="8" t="inlineStr"/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</row>
    <row r="133">
      <c r="A133" s="5" t="n">
        <v>132</v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</row>
    <row r="134">
      <c r="A134" s="5" t="n">
        <v>133</v>
      </c>
      <c r="B134" s="8" t="inlineStr"/>
      <c r="C134" s="8" t="inlineStr"/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</row>
    <row r="135">
      <c r="A135" s="5" t="n">
        <v>134</v>
      </c>
      <c r="B135" s="8" t="inlineStr"/>
      <c r="C135" s="8" t="inlineStr"/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</row>
    <row r="136">
      <c r="A136" s="5" t="n">
        <v>135</v>
      </c>
      <c r="B136" s="8" t="inlineStr"/>
      <c r="C136" s="8" t="inlineStr"/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</row>
    <row r="137">
      <c r="A137" s="5" t="n">
        <v>136</v>
      </c>
      <c r="B137" s="8" t="inlineStr"/>
      <c r="C137" s="8" t="inlineStr"/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</row>
    <row r="138">
      <c r="A138" s="5" t="n">
        <v>137</v>
      </c>
      <c r="B138" s="8" t="inlineStr"/>
      <c r="C138" s="8" t="inlineStr"/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</row>
    <row r="139">
      <c r="A139" s="5" t="n">
        <v>138</v>
      </c>
      <c r="B139" s="8" t="inlineStr"/>
      <c r="C139" s="8" t="inlineStr"/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</row>
    <row r="140">
      <c r="A140" s="5" t="n">
        <v>139</v>
      </c>
      <c r="B140" s="8" t="inlineStr"/>
      <c r="C140" s="8" t="inlineStr"/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</row>
    <row r="141">
      <c r="A141" s="5" t="n">
        <v>140</v>
      </c>
      <c r="B141" s="8" t="inlineStr"/>
      <c r="C141" s="8" t="inlineStr"/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</row>
    <row r="142">
      <c r="A142" s="5" t="n">
        <v>141</v>
      </c>
      <c r="B142" s="8" t="inlineStr"/>
      <c r="C142" s="8" t="inlineStr"/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</row>
    <row r="143">
      <c r="A143" s="5" t="n">
        <v>142</v>
      </c>
      <c r="B143" s="8" t="inlineStr"/>
      <c r="C143" s="8" t="inlineStr"/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</row>
    <row r="144">
      <c r="A144" s="5" t="n">
        <v>143</v>
      </c>
      <c r="B144" s="8" t="inlineStr"/>
      <c r="C144" s="8" t="inlineStr"/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</row>
    <row r="145">
      <c r="A145" s="5" t="n">
        <v>144</v>
      </c>
      <c r="B145" s="8" t="inlineStr"/>
      <c r="C145" s="8" t="inlineStr"/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</row>
    <row r="146">
      <c r="A146" s="5" t="n">
        <v>145</v>
      </c>
      <c r="B146" s="8" t="inlineStr"/>
      <c r="C146" s="8" t="inlineStr"/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</row>
  </sheetData>
  <dataValidations count="4">
    <dataValidation sqref="C2:C146" showDropDown="0" showInputMessage="0" showErrorMessage="0" allowBlank="1" type="list">
      <formula1>"カフェ,飲食店,和菓子店,雑貨店,陶器店・ギャラリー,工芸品店,土産店,パン屋,美容室,理容室,その他"</formula1>
    </dataValidation>
    <dataValidation sqref="D2:D146" showDropDown="0" showInputMessage="0" showErrorMessage="0" allowBlank="1" type="list">
      <formula1>"栃木市,益子町,那須町,日光市,宇都宮市,足利市,佐野市,小山市,鹿沼市,那須塩原市,真岡市,大田原市,壬生町,那珂川町,那須烏山市,矢板市,茂木町,下野市,野木町,高根沢町,芳賀町,塩谷町,さくら市,上三川町,その他"</formula1>
    </dataValidation>
    <dataValidation sqref="K2:K146" showDropDown="0" showInputMessage="0" showErrorMessage="0" allowBlank="1" type="list">
      <formula1>"未架電,不在,拒否,資料送付OK,アポ確定,見送り"</formula1>
    </dataValidation>
    <dataValidation sqref="H2:H146" showDropDown="0" showInputMessage="0" showErrorMessage="0" allowBlank="1" type="list">
      <formula1>"不明,あり（古い）,あり（最近）,なし"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0" customWidth="1" min="4" max="4"/>
  </cols>
  <sheetData>
    <row r="2">
      <c r="B2" s="1" t="inlineStr">
        <is>
          <t>週次集計</t>
        </is>
      </c>
    </row>
    <row r="4">
      <c r="B4" s="3" t="inlineStr">
        <is>
          <t>登録店舗数（合計）</t>
        </is>
      </c>
      <c r="D4" s="2">
        <f>COUNTIF(架電リスト!B2:B146,"?*")</f>
        <v/>
      </c>
    </row>
    <row r="5">
      <c r="B5" s="3" t="inlineStr">
        <is>
          <t>架電済み件数</t>
        </is>
      </c>
      <c r="D5" s="2">
        <f>COUNTIFS(架電リスト!K2:K146,"&lt;&gt;未架電",架電リスト!K2:K146,"&lt;&gt;")</f>
        <v/>
      </c>
    </row>
    <row r="6">
      <c r="B6" s="3" t="inlineStr">
        <is>
          <t>資料送付OK件数</t>
        </is>
      </c>
      <c r="D6" s="2">
        <f>COUNTIF(架電リスト!K2:K146,"資料送付OK")</f>
        <v/>
      </c>
    </row>
    <row r="7">
      <c r="B7" s="3" t="inlineStr">
        <is>
          <t>アポ確定件数</t>
        </is>
      </c>
      <c r="D7" s="2">
        <f>COUNTIF(架電リスト!K2:K146,"アポ確定")</f>
        <v/>
      </c>
    </row>
    <row r="8">
      <c r="B8" s="3" t="inlineStr">
        <is>
          <t>アポ率（アポ確定 ÷ 架電済み）</t>
        </is>
      </c>
      <c r="D8" s="9">
        <f>IFERROR(D7/D5,0)</f>
        <v/>
      </c>
    </row>
    <row r="10">
      <c r="B10" s="2" t="inlineStr">
        <is>
          <t>市町別 登録件数</t>
        </is>
      </c>
    </row>
    <row r="11">
      <c r="B11" s="3" t="inlineStr">
        <is>
          <t>栃木市</t>
        </is>
      </c>
      <c r="D11" s="10">
        <f>COUNTIF(架電リスト!D2:D146,"栃木市")</f>
        <v/>
      </c>
    </row>
    <row r="12">
      <c r="B12" s="3" t="inlineStr">
        <is>
          <t>益子町</t>
        </is>
      </c>
      <c r="D12" s="10">
        <f>COUNTIF(架電リスト!D2:D146,"益子町")</f>
        <v/>
      </c>
    </row>
    <row r="13">
      <c r="B13" s="3" t="inlineStr">
        <is>
          <t>那須町</t>
        </is>
      </c>
      <c r="D13" s="10">
        <f>COUNTIF(架電リスト!D2:D146,"那須町")</f>
        <v/>
      </c>
    </row>
    <row r="14">
      <c r="B14" s="3" t="inlineStr">
        <is>
          <t>日光市</t>
        </is>
      </c>
      <c r="D14" s="10">
        <f>COUNTIF(架電リスト!D2:D146,"日光市")</f>
        <v/>
      </c>
    </row>
    <row r="15">
      <c r="B15" s="3" t="inlineStr">
        <is>
          <t>宇都宮市</t>
        </is>
      </c>
      <c r="D15" s="10">
        <f>COUNTIF(架電リスト!D2:D146,"宇都宮市")</f>
        <v/>
      </c>
    </row>
    <row r="16">
      <c r="B16" s="3" t="inlineStr">
        <is>
          <t>足利市</t>
        </is>
      </c>
      <c r="D16" s="10">
        <f>COUNTIF(架電リスト!D2:D146,"足利市")</f>
        <v/>
      </c>
    </row>
    <row r="17">
      <c r="B17" s="3" t="inlineStr">
        <is>
          <t>佐野市</t>
        </is>
      </c>
      <c r="D17" s="10">
        <f>COUNTIF(架電リスト!D2:D146,"佐野市")</f>
        <v/>
      </c>
    </row>
    <row r="18">
      <c r="B18" s="3" t="inlineStr">
        <is>
          <t>小山市</t>
        </is>
      </c>
      <c r="D18" s="10">
        <f>COUNTIF(架電リスト!D2:D146,"小山市")</f>
        <v/>
      </c>
    </row>
    <row r="19">
      <c r="B19" s="3" t="inlineStr">
        <is>
          <t>鹿沼市</t>
        </is>
      </c>
      <c r="D19" s="10">
        <f>COUNTIF(架電リスト!D2:D146,"鹿沼市")</f>
        <v/>
      </c>
    </row>
    <row r="20">
      <c r="B20" s="3" t="inlineStr">
        <is>
          <t>那須塩原市</t>
        </is>
      </c>
      <c r="D20" s="10">
        <f>COUNTIF(架電リスト!D2:D146,"那須塩原市")</f>
        <v/>
      </c>
    </row>
    <row r="21">
      <c r="B21" s="3" t="inlineStr">
        <is>
          <t>真岡市</t>
        </is>
      </c>
      <c r="D21" s="10">
        <f>COUNTIF(架電リスト!D2:D146,"真岡市")</f>
        <v/>
      </c>
    </row>
    <row r="22">
      <c r="B22" s="3" t="inlineStr">
        <is>
          <t>大田原市</t>
        </is>
      </c>
      <c r="D22" s="10">
        <f>COUNTIF(架電リスト!D2:D146,"大田原市")</f>
        <v/>
      </c>
    </row>
    <row r="23">
      <c r="B23" s="3" t="inlineStr">
        <is>
          <t>壬生町</t>
        </is>
      </c>
      <c r="D23" s="10">
        <f>COUNTIF(架電リスト!D2:D146,"壬生町")</f>
        <v/>
      </c>
    </row>
    <row r="24">
      <c r="B24" s="3" t="inlineStr">
        <is>
          <t>那珂川町</t>
        </is>
      </c>
      <c r="D24" s="10">
        <f>COUNTIF(架電リスト!D2:D146,"那珂川町")</f>
        <v/>
      </c>
    </row>
    <row r="25">
      <c r="B25" s="3" t="inlineStr">
        <is>
          <t>那須烏山市</t>
        </is>
      </c>
      <c r="D25" s="10">
        <f>COUNTIF(架電リスト!D2:D146,"那須烏山市")</f>
        <v/>
      </c>
    </row>
    <row r="26">
      <c r="B26" s="3" t="inlineStr">
        <is>
          <t>矢板市</t>
        </is>
      </c>
      <c r="D26" s="10">
        <f>COUNTIF(架電リスト!D2:D146,"矢板市")</f>
        <v/>
      </c>
    </row>
    <row r="27">
      <c r="B27" s="3" t="inlineStr">
        <is>
          <t>茂木町</t>
        </is>
      </c>
      <c r="D27" s="10">
        <f>COUNTIF(架電リスト!D2:D146,"茂木町")</f>
        <v/>
      </c>
    </row>
    <row r="28">
      <c r="B28" s="3" t="inlineStr">
        <is>
          <t>下野市</t>
        </is>
      </c>
      <c r="D28" s="10">
        <f>COUNTIF(架電リスト!D2:D146,"下野市")</f>
        <v/>
      </c>
    </row>
    <row r="29">
      <c r="B29" s="3" t="inlineStr">
        <is>
          <t>野木町</t>
        </is>
      </c>
      <c r="D29" s="10">
        <f>COUNTIF(架電リスト!D2:D146,"野木町")</f>
        <v/>
      </c>
    </row>
    <row r="30">
      <c r="B30" s="3" t="inlineStr">
        <is>
          <t>高根沢町</t>
        </is>
      </c>
      <c r="D30" s="10">
        <f>COUNTIF(架電リスト!D2:D146,"高根沢町")</f>
        <v/>
      </c>
    </row>
    <row r="31">
      <c r="B31" s="3" t="inlineStr">
        <is>
          <t>芳賀町</t>
        </is>
      </c>
      <c r="D31" s="10">
        <f>COUNTIF(架電リスト!D2:D146,"芳賀町")</f>
        <v/>
      </c>
    </row>
    <row r="32">
      <c r="B32" s="3" t="inlineStr">
        <is>
          <t>塩谷町</t>
        </is>
      </c>
      <c r="D32" s="10">
        <f>COUNTIF(架電リスト!D2:D146,"塩谷町")</f>
        <v/>
      </c>
    </row>
    <row r="33">
      <c r="B33" s="3" t="inlineStr">
        <is>
          <t>さくら市</t>
        </is>
      </c>
      <c r="D33" s="10">
        <f>COUNTIF(架電リスト!D2:D146,"さくら市")</f>
        <v/>
      </c>
    </row>
    <row r="34">
      <c r="B34" s="3" t="inlineStr">
        <is>
          <t>上三川町</t>
        </is>
      </c>
      <c r="D34" s="10">
        <f>COUNTIF(架電リスト!D2:D146,"上三川町")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2026-09-10T18:04:28Z</dcterms:created>
  <dcterms:modified xsi:type="dcterms:W3CDTF">2026-09-10T18:04:28Z</dcterms:modified>
</cp:coreProperties>
</file>